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illinoisstateuniversity-my.sharepoint.com/personal/mhasan1_ilstu_edu/Documents/Desktop/Mahadi R projects/Porewater-Spectrum/soil_pore_water_final/soil_pore_water/Data/"/>
    </mc:Choice>
  </mc:AlternateContent>
  <xr:revisionPtr revIDLastSave="55" documentId="11_F25DC773A252ABDACC104832291D4E0C5ADE58F2" xr6:coauthVersionLast="47" xr6:coauthVersionMax="47" xr10:uidLastSave="{C9C3906D-FDE7-4422-A7FB-A3A0D12F89D6}"/>
  <bookViews>
    <workbookView xWindow="59880" yWindow="1365" windowWidth="21600" windowHeight="111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2" i="1"/>
  <c r="K3" i="1"/>
  <c r="K4" i="1"/>
  <c r="K5" i="1"/>
  <c r="K6" i="1"/>
  <c r="K7" i="1"/>
  <c r="K8" i="1"/>
  <c r="K9" i="1"/>
  <c r="K10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2" i="1"/>
  <c r="H97" i="1"/>
  <c r="J97" i="1" s="1"/>
  <c r="H96" i="1"/>
  <c r="J96" i="1" s="1"/>
  <c r="H95" i="1"/>
  <c r="J95" i="1" s="1"/>
  <c r="H94" i="1"/>
  <c r="J94" i="1" s="1"/>
  <c r="H93" i="1"/>
  <c r="J93" i="1" s="1"/>
  <c r="H92" i="1"/>
  <c r="J92" i="1" s="1"/>
  <c r="H91" i="1"/>
  <c r="J91" i="1" s="1"/>
  <c r="H90" i="1"/>
  <c r="J90" i="1" s="1"/>
  <c r="H89" i="1"/>
  <c r="J89" i="1" s="1"/>
  <c r="H88" i="1"/>
  <c r="J88" i="1" s="1"/>
  <c r="H87" i="1"/>
  <c r="J87" i="1" s="1"/>
  <c r="H86" i="1"/>
  <c r="J86" i="1" s="1"/>
  <c r="H85" i="1"/>
  <c r="J85" i="1" s="1"/>
  <c r="H84" i="1"/>
  <c r="J84" i="1" s="1"/>
  <c r="H83" i="1"/>
  <c r="J83" i="1" s="1"/>
  <c r="H82" i="1"/>
  <c r="J82" i="1" s="1"/>
  <c r="H81" i="1"/>
  <c r="J81" i="1" s="1"/>
  <c r="H80" i="1"/>
  <c r="J80" i="1" s="1"/>
  <c r="H79" i="1"/>
  <c r="J79" i="1" s="1"/>
  <c r="H78" i="1"/>
  <c r="J78" i="1" s="1"/>
  <c r="H77" i="1"/>
  <c r="J77" i="1" s="1"/>
  <c r="H76" i="1"/>
  <c r="J76" i="1" s="1"/>
  <c r="H75" i="1"/>
  <c r="J75" i="1" s="1"/>
  <c r="H74" i="1"/>
  <c r="J74" i="1" s="1"/>
  <c r="H73" i="1"/>
  <c r="J73" i="1" s="1"/>
  <c r="J72" i="1"/>
  <c r="H72" i="1"/>
  <c r="H71" i="1"/>
  <c r="J71" i="1" s="1"/>
  <c r="H70" i="1"/>
  <c r="J70" i="1" s="1"/>
  <c r="H69" i="1"/>
  <c r="J69" i="1" s="1"/>
  <c r="J68" i="1"/>
  <c r="H68" i="1"/>
  <c r="H67" i="1"/>
  <c r="J67" i="1" s="1"/>
  <c r="H66" i="1"/>
  <c r="J66" i="1" s="1"/>
  <c r="H65" i="1"/>
  <c r="J65" i="1" s="1"/>
  <c r="J64" i="1"/>
  <c r="H64" i="1"/>
  <c r="H63" i="1"/>
  <c r="J63" i="1" s="1"/>
  <c r="H62" i="1"/>
  <c r="J62" i="1" s="1"/>
  <c r="H61" i="1"/>
  <c r="J61" i="1" s="1"/>
  <c r="J60" i="1"/>
  <c r="H60" i="1"/>
  <c r="H59" i="1"/>
  <c r="J59" i="1" s="1"/>
  <c r="H58" i="1"/>
  <c r="J58" i="1" s="1"/>
  <c r="H57" i="1"/>
  <c r="J57" i="1" s="1"/>
  <c r="J56" i="1"/>
  <c r="H56" i="1"/>
  <c r="H55" i="1"/>
  <c r="J55" i="1" s="1"/>
  <c r="H54" i="1"/>
  <c r="J54" i="1" s="1"/>
  <c r="H53" i="1"/>
  <c r="J53" i="1" s="1"/>
  <c r="J52" i="1"/>
  <c r="H52" i="1"/>
  <c r="H51" i="1"/>
  <c r="J51" i="1" s="1"/>
  <c r="H50" i="1"/>
  <c r="J50" i="1" s="1"/>
  <c r="J49" i="1"/>
  <c r="H49" i="1"/>
  <c r="J48" i="1"/>
  <c r="H48" i="1"/>
  <c r="H47" i="1"/>
  <c r="J47" i="1" s="1"/>
  <c r="H46" i="1"/>
  <c r="J46" i="1" s="1"/>
  <c r="J45" i="1"/>
  <c r="H45" i="1"/>
  <c r="J44" i="1"/>
  <c r="H44" i="1"/>
  <c r="H43" i="1"/>
  <c r="J43" i="1" s="1"/>
  <c r="H42" i="1"/>
  <c r="J42" i="1" s="1"/>
  <c r="J41" i="1"/>
  <c r="H41" i="1"/>
  <c r="J40" i="1"/>
  <c r="H40" i="1"/>
  <c r="J39" i="1"/>
  <c r="H39" i="1"/>
  <c r="H38" i="1"/>
  <c r="J38" i="1" s="1"/>
  <c r="J37" i="1"/>
  <c r="H37" i="1"/>
  <c r="J36" i="1"/>
  <c r="H36" i="1"/>
  <c r="J35" i="1"/>
  <c r="H35" i="1"/>
  <c r="H34" i="1"/>
  <c r="J34" i="1" s="1"/>
  <c r="J33" i="1"/>
  <c r="H33" i="1"/>
  <c r="J32" i="1"/>
  <c r="H32" i="1"/>
  <c r="J31" i="1"/>
  <c r="H31" i="1"/>
  <c r="H30" i="1"/>
  <c r="J30" i="1" s="1"/>
  <c r="J29" i="1"/>
  <c r="H29" i="1"/>
  <c r="J28" i="1"/>
  <c r="H28" i="1"/>
  <c r="J27" i="1"/>
  <c r="H27" i="1"/>
  <c r="H26" i="1"/>
  <c r="J26" i="1" s="1"/>
  <c r="J25" i="1"/>
  <c r="H25" i="1"/>
  <c r="J24" i="1"/>
  <c r="H24" i="1"/>
  <c r="H23" i="1"/>
  <c r="J23" i="1" s="1"/>
  <c r="H22" i="1"/>
  <c r="J22" i="1" s="1"/>
  <c r="J21" i="1"/>
  <c r="H21" i="1"/>
  <c r="J20" i="1"/>
  <c r="H20" i="1"/>
  <c r="H19" i="1"/>
  <c r="J19" i="1" s="1"/>
  <c r="H18" i="1"/>
  <c r="J18" i="1" s="1"/>
  <c r="J17" i="1"/>
  <c r="H17" i="1"/>
  <c r="J16" i="1"/>
  <c r="H16" i="1"/>
  <c r="H15" i="1"/>
  <c r="J15" i="1" s="1"/>
  <c r="H14" i="1"/>
  <c r="J14" i="1" s="1"/>
  <c r="H13" i="1"/>
  <c r="J13" i="1" s="1"/>
  <c r="K13" i="1" s="1"/>
  <c r="H12" i="1"/>
  <c r="J12" i="1" s="1"/>
  <c r="K12" i="1" s="1"/>
  <c r="H11" i="1"/>
  <c r="J11" i="1" s="1"/>
  <c r="K11" i="1" s="1"/>
  <c r="H10" i="1"/>
  <c r="J10" i="1" s="1"/>
  <c r="J9" i="1"/>
  <c r="H9" i="1"/>
  <c r="J8" i="1"/>
  <c r="H8" i="1"/>
  <c r="H7" i="1"/>
  <c r="J7" i="1" s="1"/>
  <c r="H6" i="1"/>
  <c r="J6" i="1" s="1"/>
  <c r="J5" i="1"/>
  <c r="H5" i="1"/>
  <c r="J4" i="1"/>
  <c r="H4" i="1"/>
  <c r="H3" i="1"/>
  <c r="J3" i="1" s="1"/>
  <c r="H2" i="1"/>
  <c r="J2" i="1" s="1"/>
</calcChain>
</file>

<file path=xl/sharedStrings.xml><?xml version="1.0" encoding="utf-8"?>
<sst xmlns="http://schemas.openxmlformats.org/spreadsheetml/2006/main" count="204" uniqueCount="20">
  <si>
    <t>plot/block</t>
  </si>
  <si>
    <t>farm</t>
  </si>
  <si>
    <t>year</t>
  </si>
  <si>
    <t>date of collection</t>
  </si>
  <si>
    <t>Biomass + Bag</t>
  </si>
  <si>
    <t>Bag</t>
  </si>
  <si>
    <t>Net Biomass (g)</t>
  </si>
  <si>
    <t>ISU</t>
  </si>
  <si>
    <t>AR</t>
  </si>
  <si>
    <t>CR</t>
  </si>
  <si>
    <t>F</t>
  </si>
  <si>
    <t>GPC</t>
  </si>
  <si>
    <t>PCRO</t>
  </si>
  <si>
    <t>WPC</t>
  </si>
  <si>
    <t>WIU</t>
  </si>
  <si>
    <t>biomass(g/0.25 m.sq)</t>
  </si>
  <si>
    <t>biomass(g/m.sq)</t>
  </si>
  <si>
    <t>biomass collected unit (m. sq)</t>
  </si>
  <si>
    <t>crop</t>
  </si>
  <si>
    <t>biomass(ton/ac)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</si>
</sst>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workbookViewId="0">
      <selection activeCell="L2" sqref="L2"/>
    </sheetView>
  </sheetViews>
  <sheetFormatPr defaultRowHeight="14.5" x14ac:dyDescent="0.35"/>
  <cols>
    <col min="4" max="4" width="16.7265625" customWidth="1"/>
    <col min="9" max="9" width="26.26953125" customWidth="1"/>
    <col min="10" max="10" width="22.1796875" customWidth="1"/>
    <col min="11" max="11" width="18.1796875" customWidth="1"/>
    <col min="12" max="12" width="16.36328125" customWidth="1"/>
  </cols>
  <sheetData>
    <row r="1" spans="1:12" ht="29" x14ac:dyDescent="0.35">
      <c r="A1" t="s">
        <v>0</v>
      </c>
      <c r="B1" t="s">
        <v>1</v>
      </c>
      <c r="C1" t="s">
        <v>2</v>
      </c>
      <c r="D1" t="s">
        <v>3</v>
      </c>
      <c r="E1" t="s">
        <v>18</v>
      </c>
      <c r="F1" s="1" t="s">
        <v>4</v>
      </c>
      <c r="G1" t="s">
        <v>5</v>
      </c>
      <c r="H1" t="s">
        <v>6</v>
      </c>
      <c r="I1" t="s">
        <v>17</v>
      </c>
      <c r="J1" t="s">
        <v>15</v>
      </c>
      <c r="K1" t="s">
        <v>16</v>
      </c>
      <c r="L1" t="s">
        <v>19</v>
      </c>
    </row>
    <row r="2" spans="1:12" x14ac:dyDescent="0.35">
      <c r="A2">
        <v>1</v>
      </c>
      <c r="B2" t="s">
        <v>7</v>
      </c>
      <c r="C2">
        <v>2024</v>
      </c>
      <c r="D2" s="3">
        <v>45425</v>
      </c>
      <c r="E2" t="s">
        <v>8</v>
      </c>
      <c r="F2">
        <v>246.7</v>
      </c>
      <c r="G2">
        <v>50.3</v>
      </c>
      <c r="H2">
        <f t="shared" ref="H2:H65" si="0">F2-G2</f>
        <v>196.39999999999998</v>
      </c>
      <c r="I2">
        <v>0.25</v>
      </c>
      <c r="J2">
        <f t="shared" ref="J2:J25" si="1" xml:space="preserve"> (H2*0.25)/I2</f>
        <v>196.39999999999998</v>
      </c>
      <c r="K2" s="4">
        <f>J2/0.25</f>
        <v>785.59999999999991</v>
      </c>
      <c r="L2" s="2">
        <f>K2*0.0040469</f>
        <v>3.1792446399999994</v>
      </c>
    </row>
    <row r="3" spans="1:12" x14ac:dyDescent="0.35">
      <c r="A3">
        <v>2</v>
      </c>
      <c r="B3" t="s">
        <v>7</v>
      </c>
      <c r="C3">
        <v>2024</v>
      </c>
      <c r="D3" s="3">
        <v>45425</v>
      </c>
      <c r="E3" t="s">
        <v>8</v>
      </c>
      <c r="F3">
        <v>217.7</v>
      </c>
      <c r="G3">
        <v>51</v>
      </c>
      <c r="H3">
        <f t="shared" si="0"/>
        <v>166.7</v>
      </c>
      <c r="I3">
        <v>0.25</v>
      </c>
      <c r="J3">
        <f t="shared" si="1"/>
        <v>166.7</v>
      </c>
      <c r="K3" s="4">
        <f t="shared" ref="K3:K66" si="2">J3/0.25</f>
        <v>666.8</v>
      </c>
      <c r="L3" s="2">
        <f t="shared" ref="L3:L66" si="3">K3*0.0040469</f>
        <v>2.6984729199999999</v>
      </c>
    </row>
    <row r="4" spans="1:12" x14ac:dyDescent="0.35">
      <c r="A4">
        <v>3</v>
      </c>
      <c r="B4" t="s">
        <v>7</v>
      </c>
      <c r="C4">
        <v>2024</v>
      </c>
      <c r="D4" s="3">
        <v>45425</v>
      </c>
      <c r="E4" t="s">
        <v>8</v>
      </c>
      <c r="F4">
        <v>231.2</v>
      </c>
      <c r="G4">
        <v>51</v>
      </c>
      <c r="H4">
        <f t="shared" si="0"/>
        <v>180.2</v>
      </c>
      <c r="I4">
        <v>0.25</v>
      </c>
      <c r="J4">
        <f t="shared" si="1"/>
        <v>180.2</v>
      </c>
      <c r="K4" s="4">
        <f t="shared" si="2"/>
        <v>720.8</v>
      </c>
      <c r="L4" s="2">
        <f t="shared" si="3"/>
        <v>2.91700552</v>
      </c>
    </row>
    <row r="5" spans="1:12" x14ac:dyDescent="0.35">
      <c r="A5">
        <v>4</v>
      </c>
      <c r="B5" t="s">
        <v>7</v>
      </c>
      <c r="C5">
        <v>2024</v>
      </c>
      <c r="D5" s="3">
        <v>45425</v>
      </c>
      <c r="E5" t="s">
        <v>8</v>
      </c>
      <c r="F5">
        <v>393.6</v>
      </c>
      <c r="G5">
        <v>102.8</v>
      </c>
      <c r="H5">
        <f t="shared" si="0"/>
        <v>290.8</v>
      </c>
      <c r="I5">
        <v>0.25</v>
      </c>
      <c r="J5">
        <f t="shared" si="1"/>
        <v>290.8</v>
      </c>
      <c r="K5" s="4">
        <f t="shared" si="2"/>
        <v>1163.2</v>
      </c>
      <c r="L5" s="2">
        <f t="shared" si="3"/>
        <v>4.70735408</v>
      </c>
    </row>
    <row r="6" spans="1:12" x14ac:dyDescent="0.35">
      <c r="A6">
        <v>1</v>
      </c>
      <c r="B6" t="s">
        <v>7</v>
      </c>
      <c r="C6">
        <v>2024</v>
      </c>
      <c r="D6" s="3">
        <v>45425</v>
      </c>
      <c r="E6" t="s">
        <v>9</v>
      </c>
      <c r="F6">
        <v>426.8</v>
      </c>
      <c r="G6">
        <v>50.4</v>
      </c>
      <c r="H6">
        <f t="shared" si="0"/>
        <v>376.40000000000003</v>
      </c>
      <c r="I6">
        <v>0.25</v>
      </c>
      <c r="J6">
        <f t="shared" si="1"/>
        <v>376.40000000000003</v>
      </c>
      <c r="K6" s="4">
        <f t="shared" si="2"/>
        <v>1505.6000000000001</v>
      </c>
      <c r="L6" s="2">
        <f t="shared" si="3"/>
        <v>6.0930126400000004</v>
      </c>
    </row>
    <row r="7" spans="1:12" x14ac:dyDescent="0.35">
      <c r="A7">
        <v>2</v>
      </c>
      <c r="B7" t="s">
        <v>7</v>
      </c>
      <c r="C7">
        <v>2024</v>
      </c>
      <c r="D7" s="3">
        <v>45425</v>
      </c>
      <c r="E7" t="s">
        <v>9</v>
      </c>
      <c r="F7">
        <v>338.5</v>
      </c>
      <c r="G7">
        <v>52.4</v>
      </c>
      <c r="H7">
        <f t="shared" si="0"/>
        <v>286.10000000000002</v>
      </c>
      <c r="I7">
        <v>0.25</v>
      </c>
      <c r="J7">
        <f t="shared" si="1"/>
        <v>286.10000000000002</v>
      </c>
      <c r="K7" s="4">
        <f t="shared" si="2"/>
        <v>1144.4000000000001</v>
      </c>
      <c r="L7" s="2">
        <f t="shared" si="3"/>
        <v>4.6312723600000005</v>
      </c>
    </row>
    <row r="8" spans="1:12" x14ac:dyDescent="0.35">
      <c r="A8">
        <v>3</v>
      </c>
      <c r="B8" t="s">
        <v>7</v>
      </c>
      <c r="C8">
        <v>2024</v>
      </c>
      <c r="D8" s="3">
        <v>45425</v>
      </c>
      <c r="E8" t="s">
        <v>9</v>
      </c>
      <c r="F8">
        <v>439.3</v>
      </c>
      <c r="G8">
        <v>101.8</v>
      </c>
      <c r="H8">
        <f t="shared" si="0"/>
        <v>337.5</v>
      </c>
      <c r="I8">
        <v>0.25</v>
      </c>
      <c r="J8">
        <f t="shared" si="1"/>
        <v>337.5</v>
      </c>
      <c r="K8" s="4">
        <f t="shared" si="2"/>
        <v>1350</v>
      </c>
      <c r="L8" s="2">
        <f t="shared" si="3"/>
        <v>5.4633149999999997</v>
      </c>
    </row>
    <row r="9" spans="1:12" x14ac:dyDescent="0.35">
      <c r="A9">
        <v>4</v>
      </c>
      <c r="B9" t="s">
        <v>7</v>
      </c>
      <c r="C9">
        <v>2024</v>
      </c>
      <c r="D9" s="3">
        <v>45425</v>
      </c>
      <c r="E9" t="s">
        <v>9</v>
      </c>
      <c r="F9">
        <v>348</v>
      </c>
      <c r="G9">
        <v>51.6</v>
      </c>
      <c r="H9">
        <f t="shared" si="0"/>
        <v>296.39999999999998</v>
      </c>
      <c r="I9">
        <v>0.25</v>
      </c>
      <c r="J9">
        <f t="shared" si="1"/>
        <v>296.39999999999998</v>
      </c>
      <c r="K9" s="4">
        <f t="shared" si="2"/>
        <v>1185.5999999999999</v>
      </c>
      <c r="L9" s="2">
        <f t="shared" si="3"/>
        <v>4.7980046399999994</v>
      </c>
    </row>
    <row r="10" spans="1:12" x14ac:dyDescent="0.35">
      <c r="A10">
        <v>1</v>
      </c>
      <c r="B10" t="s">
        <v>7</v>
      </c>
      <c r="C10">
        <v>2024</v>
      </c>
      <c r="D10" s="3">
        <v>45425</v>
      </c>
      <c r="E10" t="s">
        <v>10</v>
      </c>
      <c r="F10">
        <v>0</v>
      </c>
      <c r="G10">
        <v>0</v>
      </c>
      <c r="H10">
        <f t="shared" si="0"/>
        <v>0</v>
      </c>
      <c r="I10">
        <v>0.25</v>
      </c>
      <c r="J10">
        <f t="shared" si="1"/>
        <v>0</v>
      </c>
      <c r="K10" s="4">
        <f t="shared" si="2"/>
        <v>0</v>
      </c>
      <c r="L10" s="2">
        <f t="shared" si="3"/>
        <v>0</v>
      </c>
    </row>
    <row r="11" spans="1:12" x14ac:dyDescent="0.35">
      <c r="A11">
        <v>2</v>
      </c>
      <c r="B11" t="s">
        <v>7</v>
      </c>
      <c r="C11">
        <v>2024</v>
      </c>
      <c r="D11" s="3">
        <v>45425</v>
      </c>
      <c r="E11" t="s">
        <v>10</v>
      </c>
      <c r="F11">
        <v>0</v>
      </c>
      <c r="G11">
        <v>0</v>
      </c>
      <c r="H11">
        <f t="shared" si="0"/>
        <v>0</v>
      </c>
      <c r="I11">
        <v>0.25</v>
      </c>
      <c r="J11">
        <f t="shared" si="1"/>
        <v>0</v>
      </c>
      <c r="K11" s="4">
        <f t="shared" si="2"/>
        <v>0</v>
      </c>
      <c r="L11" s="2">
        <f t="shared" si="3"/>
        <v>0</v>
      </c>
    </row>
    <row r="12" spans="1:12" x14ac:dyDescent="0.35">
      <c r="A12">
        <v>3</v>
      </c>
      <c r="B12" t="s">
        <v>7</v>
      </c>
      <c r="C12">
        <v>2024</v>
      </c>
      <c r="D12" s="3">
        <v>45425</v>
      </c>
      <c r="E12" t="s">
        <v>10</v>
      </c>
      <c r="F12">
        <v>0</v>
      </c>
      <c r="G12">
        <v>0</v>
      </c>
      <c r="H12">
        <f t="shared" si="0"/>
        <v>0</v>
      </c>
      <c r="I12">
        <v>0.25</v>
      </c>
      <c r="J12">
        <f t="shared" si="1"/>
        <v>0</v>
      </c>
      <c r="K12" s="4">
        <f t="shared" si="2"/>
        <v>0</v>
      </c>
      <c r="L12" s="2">
        <f t="shared" si="3"/>
        <v>0</v>
      </c>
    </row>
    <row r="13" spans="1:12" x14ac:dyDescent="0.35">
      <c r="A13">
        <v>4</v>
      </c>
      <c r="B13" t="s">
        <v>7</v>
      </c>
      <c r="C13">
        <v>2024</v>
      </c>
      <c r="D13" s="3">
        <v>45425</v>
      </c>
      <c r="E13" t="s">
        <v>10</v>
      </c>
      <c r="F13">
        <v>0</v>
      </c>
      <c r="G13">
        <v>0</v>
      </c>
      <c r="H13">
        <f t="shared" si="0"/>
        <v>0</v>
      </c>
      <c r="I13">
        <v>0.25</v>
      </c>
      <c r="J13">
        <f t="shared" si="1"/>
        <v>0</v>
      </c>
      <c r="K13" s="4">
        <f t="shared" si="2"/>
        <v>0</v>
      </c>
      <c r="L13" s="2">
        <f t="shared" si="3"/>
        <v>0</v>
      </c>
    </row>
    <row r="14" spans="1:12" x14ac:dyDescent="0.35">
      <c r="A14">
        <v>1</v>
      </c>
      <c r="B14" t="s">
        <v>7</v>
      </c>
      <c r="C14">
        <v>2024</v>
      </c>
      <c r="D14" s="3">
        <v>45425</v>
      </c>
      <c r="E14" t="s">
        <v>11</v>
      </c>
      <c r="F14">
        <v>182.3</v>
      </c>
      <c r="G14">
        <v>51.1</v>
      </c>
      <c r="H14">
        <f t="shared" si="0"/>
        <v>131.20000000000002</v>
      </c>
      <c r="I14">
        <v>0.25</v>
      </c>
      <c r="J14">
        <f t="shared" si="1"/>
        <v>131.20000000000002</v>
      </c>
      <c r="K14" s="4">
        <f t="shared" si="2"/>
        <v>524.80000000000007</v>
      </c>
      <c r="L14" s="2">
        <f t="shared" si="3"/>
        <v>2.1238131200000003</v>
      </c>
    </row>
    <row r="15" spans="1:12" x14ac:dyDescent="0.35">
      <c r="A15">
        <v>2</v>
      </c>
      <c r="B15" t="s">
        <v>7</v>
      </c>
      <c r="C15">
        <v>2024</v>
      </c>
      <c r="D15" s="3">
        <v>45425</v>
      </c>
      <c r="E15" t="s">
        <v>11</v>
      </c>
      <c r="F15">
        <v>190.9</v>
      </c>
      <c r="G15">
        <v>51.3</v>
      </c>
      <c r="H15">
        <f t="shared" si="0"/>
        <v>139.60000000000002</v>
      </c>
      <c r="I15">
        <v>0.25</v>
      </c>
      <c r="J15">
        <f t="shared" si="1"/>
        <v>139.60000000000002</v>
      </c>
      <c r="K15" s="4">
        <f t="shared" si="2"/>
        <v>558.40000000000009</v>
      </c>
      <c r="L15" s="2">
        <f t="shared" si="3"/>
        <v>2.2597889600000003</v>
      </c>
    </row>
    <row r="16" spans="1:12" x14ac:dyDescent="0.35">
      <c r="A16">
        <v>3</v>
      </c>
      <c r="B16" t="s">
        <v>7</v>
      </c>
      <c r="C16">
        <v>2024</v>
      </c>
      <c r="D16" s="3">
        <v>45425</v>
      </c>
      <c r="E16" t="s">
        <v>11</v>
      </c>
      <c r="F16">
        <v>190.7</v>
      </c>
      <c r="G16">
        <v>52</v>
      </c>
      <c r="H16">
        <f t="shared" si="0"/>
        <v>138.69999999999999</v>
      </c>
      <c r="I16">
        <v>0.25</v>
      </c>
      <c r="J16">
        <f t="shared" si="1"/>
        <v>138.69999999999999</v>
      </c>
      <c r="K16" s="4">
        <f t="shared" si="2"/>
        <v>554.79999999999995</v>
      </c>
      <c r="L16" s="2">
        <f t="shared" si="3"/>
        <v>2.2452201199999999</v>
      </c>
    </row>
    <row r="17" spans="1:12" x14ac:dyDescent="0.35">
      <c r="A17">
        <v>4</v>
      </c>
      <c r="B17" t="s">
        <v>7</v>
      </c>
      <c r="C17">
        <v>2024</v>
      </c>
      <c r="D17" s="3">
        <v>45425</v>
      </c>
      <c r="E17" t="s">
        <v>11</v>
      </c>
      <c r="F17">
        <v>163.5</v>
      </c>
      <c r="G17">
        <v>51.8</v>
      </c>
      <c r="H17">
        <f t="shared" si="0"/>
        <v>111.7</v>
      </c>
      <c r="I17">
        <v>0.25</v>
      </c>
      <c r="J17">
        <f t="shared" si="1"/>
        <v>111.7</v>
      </c>
      <c r="K17" s="4">
        <f t="shared" si="2"/>
        <v>446.8</v>
      </c>
      <c r="L17" s="2">
        <f t="shared" si="3"/>
        <v>1.80815492</v>
      </c>
    </row>
    <row r="18" spans="1:12" x14ac:dyDescent="0.35">
      <c r="A18">
        <v>1</v>
      </c>
      <c r="B18" t="s">
        <v>7</v>
      </c>
      <c r="C18">
        <v>2024</v>
      </c>
      <c r="D18" s="3">
        <v>45425</v>
      </c>
      <c r="E18" t="s">
        <v>12</v>
      </c>
      <c r="F18">
        <v>284.89999999999998</v>
      </c>
      <c r="G18">
        <v>51.2</v>
      </c>
      <c r="H18">
        <f t="shared" si="0"/>
        <v>233.7</v>
      </c>
      <c r="I18">
        <v>0.25</v>
      </c>
      <c r="J18">
        <f t="shared" si="1"/>
        <v>233.7</v>
      </c>
      <c r="K18" s="4">
        <f t="shared" si="2"/>
        <v>934.8</v>
      </c>
      <c r="L18" s="2">
        <f t="shared" si="3"/>
        <v>3.7830421199999997</v>
      </c>
    </row>
    <row r="19" spans="1:12" x14ac:dyDescent="0.35">
      <c r="A19">
        <v>2</v>
      </c>
      <c r="B19" t="s">
        <v>7</v>
      </c>
      <c r="C19">
        <v>2024</v>
      </c>
      <c r="D19" s="3">
        <v>45425</v>
      </c>
      <c r="E19" t="s">
        <v>12</v>
      </c>
      <c r="F19">
        <v>223.9</v>
      </c>
      <c r="G19">
        <v>51.9</v>
      </c>
      <c r="H19">
        <f t="shared" si="0"/>
        <v>172</v>
      </c>
      <c r="I19">
        <v>0.25</v>
      </c>
      <c r="J19">
        <f t="shared" si="1"/>
        <v>172</v>
      </c>
      <c r="K19" s="4">
        <f t="shared" si="2"/>
        <v>688</v>
      </c>
      <c r="L19" s="2">
        <f t="shared" si="3"/>
        <v>2.7842671999999999</v>
      </c>
    </row>
    <row r="20" spans="1:12" x14ac:dyDescent="0.35">
      <c r="A20">
        <v>3</v>
      </c>
      <c r="B20" t="s">
        <v>7</v>
      </c>
      <c r="C20">
        <v>2024</v>
      </c>
      <c r="D20" s="3">
        <v>45425</v>
      </c>
      <c r="E20" t="s">
        <v>12</v>
      </c>
      <c r="F20">
        <v>227.4</v>
      </c>
      <c r="G20">
        <v>51</v>
      </c>
      <c r="H20">
        <f t="shared" si="0"/>
        <v>176.4</v>
      </c>
      <c r="I20">
        <v>0.25</v>
      </c>
      <c r="J20">
        <f t="shared" si="1"/>
        <v>176.4</v>
      </c>
      <c r="K20" s="4">
        <f t="shared" si="2"/>
        <v>705.6</v>
      </c>
      <c r="L20" s="2">
        <f t="shared" si="3"/>
        <v>2.85549264</v>
      </c>
    </row>
    <row r="21" spans="1:12" x14ac:dyDescent="0.35">
      <c r="A21">
        <v>4</v>
      </c>
      <c r="B21" t="s">
        <v>7</v>
      </c>
      <c r="C21">
        <v>2024</v>
      </c>
      <c r="D21" s="3">
        <v>45425</v>
      </c>
      <c r="E21" t="s">
        <v>12</v>
      </c>
      <c r="F21">
        <v>227.3</v>
      </c>
      <c r="G21">
        <v>52.2</v>
      </c>
      <c r="H21">
        <f t="shared" si="0"/>
        <v>175.10000000000002</v>
      </c>
      <c r="I21">
        <v>0.25</v>
      </c>
      <c r="J21">
        <f t="shared" si="1"/>
        <v>175.10000000000002</v>
      </c>
      <c r="K21" s="4">
        <f t="shared" si="2"/>
        <v>700.40000000000009</v>
      </c>
      <c r="L21" s="2">
        <f t="shared" si="3"/>
        <v>2.8344487600000003</v>
      </c>
    </row>
    <row r="22" spans="1:12" x14ac:dyDescent="0.35">
      <c r="A22">
        <v>1</v>
      </c>
      <c r="B22" t="s">
        <v>7</v>
      </c>
      <c r="C22">
        <v>2024</v>
      </c>
      <c r="D22" s="3">
        <v>45425</v>
      </c>
      <c r="E22" t="s">
        <v>13</v>
      </c>
      <c r="F22">
        <v>108.1</v>
      </c>
      <c r="G22">
        <v>50.7</v>
      </c>
      <c r="H22">
        <f t="shared" si="0"/>
        <v>57.399999999999991</v>
      </c>
      <c r="I22">
        <v>0.25</v>
      </c>
      <c r="J22">
        <f t="shared" si="1"/>
        <v>57.399999999999991</v>
      </c>
      <c r="K22" s="4">
        <f t="shared" si="2"/>
        <v>229.59999999999997</v>
      </c>
      <c r="L22" s="2">
        <f t="shared" si="3"/>
        <v>0.92916823999999987</v>
      </c>
    </row>
    <row r="23" spans="1:12" x14ac:dyDescent="0.35">
      <c r="A23">
        <v>2</v>
      </c>
      <c r="B23" t="s">
        <v>7</v>
      </c>
      <c r="C23">
        <v>2024</v>
      </c>
      <c r="D23" s="3">
        <v>45425</v>
      </c>
      <c r="E23" t="s">
        <v>13</v>
      </c>
      <c r="F23">
        <v>155</v>
      </c>
      <c r="G23">
        <v>41.1</v>
      </c>
      <c r="H23">
        <f t="shared" si="0"/>
        <v>113.9</v>
      </c>
      <c r="I23">
        <v>0.25</v>
      </c>
      <c r="J23">
        <f t="shared" si="1"/>
        <v>113.9</v>
      </c>
      <c r="K23" s="4">
        <f t="shared" si="2"/>
        <v>455.6</v>
      </c>
      <c r="L23" s="2">
        <f t="shared" si="3"/>
        <v>1.84376764</v>
      </c>
    </row>
    <row r="24" spans="1:12" x14ac:dyDescent="0.35">
      <c r="A24">
        <v>3</v>
      </c>
      <c r="B24" t="s">
        <v>7</v>
      </c>
      <c r="C24">
        <v>2024</v>
      </c>
      <c r="D24" s="3">
        <v>45425</v>
      </c>
      <c r="E24" t="s">
        <v>13</v>
      </c>
      <c r="F24">
        <v>128.6</v>
      </c>
      <c r="G24">
        <v>51.2</v>
      </c>
      <c r="H24">
        <f t="shared" si="0"/>
        <v>77.399999999999991</v>
      </c>
      <c r="I24">
        <v>0.25</v>
      </c>
      <c r="J24">
        <f t="shared" si="1"/>
        <v>77.399999999999991</v>
      </c>
      <c r="K24" s="4">
        <f t="shared" si="2"/>
        <v>309.59999999999997</v>
      </c>
      <c r="L24" s="2">
        <f t="shared" si="3"/>
        <v>1.2529202399999999</v>
      </c>
    </row>
    <row r="25" spans="1:12" x14ac:dyDescent="0.35">
      <c r="A25">
        <v>4</v>
      </c>
      <c r="B25" t="s">
        <v>7</v>
      </c>
      <c r="C25">
        <v>2024</v>
      </c>
      <c r="D25" s="3">
        <v>45425</v>
      </c>
      <c r="E25" t="s">
        <v>13</v>
      </c>
      <c r="F25">
        <v>160.69999999999999</v>
      </c>
      <c r="G25">
        <v>51.2</v>
      </c>
      <c r="H25">
        <f t="shared" si="0"/>
        <v>109.49999999999999</v>
      </c>
      <c r="I25">
        <v>0.25</v>
      </c>
      <c r="J25">
        <f t="shared" si="1"/>
        <v>109.49999999999999</v>
      </c>
      <c r="K25" s="4">
        <f t="shared" si="2"/>
        <v>437.99999999999994</v>
      </c>
      <c r="L25" s="2">
        <f t="shared" si="3"/>
        <v>1.7725421999999997</v>
      </c>
    </row>
    <row r="26" spans="1:12" x14ac:dyDescent="0.35">
      <c r="A26">
        <v>1</v>
      </c>
      <c r="B26" t="s">
        <v>14</v>
      </c>
      <c r="C26">
        <v>2024</v>
      </c>
      <c r="D26" s="3">
        <v>45441</v>
      </c>
      <c r="E26" t="s">
        <v>8</v>
      </c>
      <c r="F26">
        <v>161.9</v>
      </c>
      <c r="G26">
        <v>48.9</v>
      </c>
      <c r="H26">
        <f t="shared" si="0"/>
        <v>113</v>
      </c>
      <c r="I26">
        <v>0.5</v>
      </c>
      <c r="J26" s="2">
        <f t="shared" ref="J26:J49" si="4">(H26*0.25)/I26</f>
        <v>56.5</v>
      </c>
      <c r="K26" s="4">
        <f t="shared" si="2"/>
        <v>226</v>
      </c>
      <c r="L26" s="2">
        <f t="shared" si="3"/>
        <v>0.91459939999999995</v>
      </c>
    </row>
    <row r="27" spans="1:12" x14ac:dyDescent="0.35">
      <c r="A27">
        <v>2</v>
      </c>
      <c r="B27" t="s">
        <v>14</v>
      </c>
      <c r="C27">
        <v>2024</v>
      </c>
      <c r="D27" s="3">
        <v>45441</v>
      </c>
      <c r="E27" t="s">
        <v>8</v>
      </c>
      <c r="F27">
        <v>112.8</v>
      </c>
      <c r="G27">
        <v>48.1</v>
      </c>
      <c r="H27">
        <f t="shared" si="0"/>
        <v>64.699999999999989</v>
      </c>
      <c r="I27">
        <v>0.5</v>
      </c>
      <c r="J27" s="2">
        <f t="shared" si="4"/>
        <v>32.349999999999994</v>
      </c>
      <c r="K27" s="4">
        <f t="shared" si="2"/>
        <v>129.39999999999998</v>
      </c>
      <c r="L27" s="2">
        <f t="shared" si="3"/>
        <v>0.5236688599999999</v>
      </c>
    </row>
    <row r="28" spans="1:12" x14ac:dyDescent="0.35">
      <c r="A28">
        <v>3</v>
      </c>
      <c r="B28" t="s">
        <v>14</v>
      </c>
      <c r="C28">
        <v>2024</v>
      </c>
      <c r="D28" s="3">
        <v>45441</v>
      </c>
      <c r="E28" t="s">
        <v>8</v>
      </c>
      <c r="F28">
        <v>140.4</v>
      </c>
      <c r="G28">
        <v>48.6</v>
      </c>
      <c r="H28">
        <f t="shared" si="0"/>
        <v>91.800000000000011</v>
      </c>
      <c r="I28">
        <v>0.5</v>
      </c>
      <c r="J28" s="2">
        <f t="shared" si="4"/>
        <v>45.900000000000006</v>
      </c>
      <c r="K28" s="4">
        <f t="shared" si="2"/>
        <v>183.60000000000002</v>
      </c>
      <c r="L28" s="2">
        <f t="shared" si="3"/>
        <v>0.74301084000000006</v>
      </c>
    </row>
    <row r="29" spans="1:12" x14ac:dyDescent="0.35">
      <c r="A29">
        <v>4</v>
      </c>
      <c r="B29" t="s">
        <v>14</v>
      </c>
      <c r="C29">
        <v>2024</v>
      </c>
      <c r="D29" s="3">
        <v>45441</v>
      </c>
      <c r="E29" t="s">
        <v>8</v>
      </c>
      <c r="F29">
        <v>108.1</v>
      </c>
      <c r="G29">
        <v>48.4</v>
      </c>
      <c r="H29">
        <f t="shared" si="0"/>
        <v>59.699999999999996</v>
      </c>
      <c r="I29">
        <v>0.5</v>
      </c>
      <c r="J29" s="2">
        <f t="shared" si="4"/>
        <v>29.849999999999998</v>
      </c>
      <c r="K29" s="4">
        <f t="shared" si="2"/>
        <v>119.39999999999999</v>
      </c>
      <c r="L29" s="2">
        <f t="shared" si="3"/>
        <v>0.48319985999999998</v>
      </c>
    </row>
    <row r="30" spans="1:12" x14ac:dyDescent="0.35">
      <c r="A30">
        <v>1</v>
      </c>
      <c r="B30" t="s">
        <v>14</v>
      </c>
      <c r="C30">
        <v>2024</v>
      </c>
      <c r="D30" s="3">
        <v>45441</v>
      </c>
      <c r="E30" t="s">
        <v>9</v>
      </c>
      <c r="F30">
        <v>329.4</v>
      </c>
      <c r="G30">
        <v>48.4</v>
      </c>
      <c r="H30">
        <f t="shared" si="0"/>
        <v>281</v>
      </c>
      <c r="I30">
        <v>0.25</v>
      </c>
      <c r="J30" s="2">
        <f t="shared" si="4"/>
        <v>281</v>
      </c>
      <c r="K30" s="4">
        <f t="shared" si="2"/>
        <v>1124</v>
      </c>
      <c r="L30" s="2">
        <f t="shared" si="3"/>
        <v>4.5487156000000004</v>
      </c>
    </row>
    <row r="31" spans="1:12" x14ac:dyDescent="0.35">
      <c r="A31">
        <v>2</v>
      </c>
      <c r="B31" t="s">
        <v>14</v>
      </c>
      <c r="C31">
        <v>2024</v>
      </c>
      <c r="D31" s="3">
        <v>45441</v>
      </c>
      <c r="E31" t="s">
        <v>9</v>
      </c>
      <c r="F31">
        <v>171.4</v>
      </c>
      <c r="G31">
        <v>50.1</v>
      </c>
      <c r="H31">
        <f t="shared" si="0"/>
        <v>121.30000000000001</v>
      </c>
      <c r="I31">
        <v>0.25</v>
      </c>
      <c r="J31" s="2">
        <f t="shared" si="4"/>
        <v>121.30000000000001</v>
      </c>
      <c r="K31" s="4">
        <f t="shared" si="2"/>
        <v>485.20000000000005</v>
      </c>
      <c r="L31" s="2">
        <f t="shared" si="3"/>
        <v>1.9635558800000001</v>
      </c>
    </row>
    <row r="32" spans="1:12" x14ac:dyDescent="0.35">
      <c r="A32">
        <v>3</v>
      </c>
      <c r="B32" t="s">
        <v>14</v>
      </c>
      <c r="C32">
        <v>2024</v>
      </c>
      <c r="D32" s="3">
        <v>45441</v>
      </c>
      <c r="E32" t="s">
        <v>9</v>
      </c>
      <c r="F32">
        <v>159.1</v>
      </c>
      <c r="G32">
        <v>49.3</v>
      </c>
      <c r="H32">
        <f t="shared" si="0"/>
        <v>109.8</v>
      </c>
      <c r="I32">
        <v>0.25</v>
      </c>
      <c r="J32" s="2">
        <f t="shared" si="4"/>
        <v>109.8</v>
      </c>
      <c r="K32" s="4">
        <f t="shared" si="2"/>
        <v>439.2</v>
      </c>
      <c r="L32" s="2">
        <f t="shared" si="3"/>
        <v>1.77739848</v>
      </c>
    </row>
    <row r="33" spans="1:12" x14ac:dyDescent="0.35">
      <c r="A33">
        <v>4</v>
      </c>
      <c r="B33" t="s">
        <v>14</v>
      </c>
      <c r="C33">
        <v>2024</v>
      </c>
      <c r="D33" s="3">
        <v>45441</v>
      </c>
      <c r="E33" t="s">
        <v>9</v>
      </c>
      <c r="F33">
        <v>173.1</v>
      </c>
      <c r="G33">
        <v>48.8</v>
      </c>
      <c r="H33">
        <f t="shared" si="0"/>
        <v>124.3</v>
      </c>
      <c r="I33">
        <v>0.25</v>
      </c>
      <c r="J33" s="2">
        <f t="shared" si="4"/>
        <v>124.3</v>
      </c>
      <c r="K33" s="4">
        <f t="shared" si="2"/>
        <v>497.2</v>
      </c>
      <c r="L33" s="2">
        <f t="shared" si="3"/>
        <v>2.0121186799999999</v>
      </c>
    </row>
    <row r="34" spans="1:12" x14ac:dyDescent="0.35">
      <c r="A34">
        <v>1</v>
      </c>
      <c r="B34" t="s">
        <v>14</v>
      </c>
      <c r="C34">
        <v>2024</v>
      </c>
      <c r="D34" s="3">
        <v>45441</v>
      </c>
      <c r="E34" t="s">
        <v>10</v>
      </c>
      <c r="F34">
        <v>0</v>
      </c>
      <c r="G34">
        <v>0</v>
      </c>
      <c r="H34">
        <f t="shared" si="0"/>
        <v>0</v>
      </c>
      <c r="I34">
        <v>0.5</v>
      </c>
      <c r="J34" s="2">
        <f t="shared" si="4"/>
        <v>0</v>
      </c>
      <c r="K34" s="4">
        <f t="shared" si="2"/>
        <v>0</v>
      </c>
      <c r="L34" s="2">
        <f t="shared" si="3"/>
        <v>0</v>
      </c>
    </row>
    <row r="35" spans="1:12" x14ac:dyDescent="0.35">
      <c r="A35">
        <v>2</v>
      </c>
      <c r="B35" t="s">
        <v>14</v>
      </c>
      <c r="C35">
        <v>2024</v>
      </c>
      <c r="D35" s="3">
        <v>45441</v>
      </c>
      <c r="E35" t="s">
        <v>10</v>
      </c>
      <c r="F35">
        <v>0</v>
      </c>
      <c r="G35">
        <v>0</v>
      </c>
      <c r="H35">
        <f t="shared" si="0"/>
        <v>0</v>
      </c>
      <c r="I35">
        <v>0.5</v>
      </c>
      <c r="J35" s="2">
        <f t="shared" si="4"/>
        <v>0</v>
      </c>
      <c r="K35" s="4">
        <f t="shared" si="2"/>
        <v>0</v>
      </c>
      <c r="L35" s="2">
        <f t="shared" si="3"/>
        <v>0</v>
      </c>
    </row>
    <row r="36" spans="1:12" x14ac:dyDescent="0.35">
      <c r="A36">
        <v>3</v>
      </c>
      <c r="B36" t="s">
        <v>14</v>
      </c>
      <c r="C36">
        <v>2024</v>
      </c>
      <c r="D36" s="3">
        <v>45441</v>
      </c>
      <c r="E36" t="s">
        <v>10</v>
      </c>
      <c r="F36">
        <v>0</v>
      </c>
      <c r="G36">
        <v>0</v>
      </c>
      <c r="H36">
        <f t="shared" si="0"/>
        <v>0</v>
      </c>
      <c r="I36">
        <v>0.5</v>
      </c>
      <c r="J36" s="2">
        <f t="shared" si="4"/>
        <v>0</v>
      </c>
      <c r="K36" s="4">
        <f t="shared" si="2"/>
        <v>0</v>
      </c>
      <c r="L36" s="2">
        <f t="shared" si="3"/>
        <v>0</v>
      </c>
    </row>
    <row r="37" spans="1:12" x14ac:dyDescent="0.35">
      <c r="A37">
        <v>4</v>
      </c>
      <c r="B37" t="s">
        <v>14</v>
      </c>
      <c r="C37">
        <v>2024</v>
      </c>
      <c r="D37" s="3">
        <v>45441</v>
      </c>
      <c r="E37" t="s">
        <v>10</v>
      </c>
      <c r="F37">
        <v>0</v>
      </c>
      <c r="G37">
        <v>0</v>
      </c>
      <c r="H37">
        <f t="shared" si="0"/>
        <v>0</v>
      </c>
      <c r="I37">
        <v>0.5</v>
      </c>
      <c r="J37" s="2">
        <f t="shared" si="4"/>
        <v>0</v>
      </c>
      <c r="K37" s="4">
        <f t="shared" si="2"/>
        <v>0</v>
      </c>
      <c r="L37" s="2">
        <f t="shared" si="3"/>
        <v>0</v>
      </c>
    </row>
    <row r="38" spans="1:12" x14ac:dyDescent="0.35">
      <c r="A38">
        <v>1</v>
      </c>
      <c r="B38" t="s">
        <v>14</v>
      </c>
      <c r="C38">
        <v>2024</v>
      </c>
      <c r="D38" s="3">
        <v>45441</v>
      </c>
      <c r="E38" t="s">
        <v>11</v>
      </c>
      <c r="F38">
        <v>92.4</v>
      </c>
      <c r="G38">
        <v>49.1</v>
      </c>
      <c r="H38">
        <f t="shared" si="0"/>
        <v>43.300000000000004</v>
      </c>
      <c r="I38">
        <v>0.5</v>
      </c>
      <c r="J38" s="2">
        <f t="shared" si="4"/>
        <v>21.650000000000002</v>
      </c>
      <c r="K38" s="4">
        <f t="shared" si="2"/>
        <v>86.600000000000009</v>
      </c>
      <c r="L38" s="2">
        <f t="shared" si="3"/>
        <v>0.35046154000000002</v>
      </c>
    </row>
    <row r="39" spans="1:12" x14ac:dyDescent="0.35">
      <c r="A39">
        <v>2</v>
      </c>
      <c r="B39" t="s">
        <v>14</v>
      </c>
      <c r="C39">
        <v>2024</v>
      </c>
      <c r="D39" s="3">
        <v>45441</v>
      </c>
      <c r="E39" t="s">
        <v>11</v>
      </c>
      <c r="F39">
        <v>70.400000000000006</v>
      </c>
      <c r="G39">
        <v>48.8</v>
      </c>
      <c r="H39">
        <f t="shared" si="0"/>
        <v>21.600000000000009</v>
      </c>
      <c r="I39">
        <v>0.5</v>
      </c>
      <c r="J39" s="2">
        <f t="shared" si="4"/>
        <v>10.800000000000004</v>
      </c>
      <c r="K39" s="4">
        <f t="shared" si="2"/>
        <v>43.200000000000017</v>
      </c>
      <c r="L39" s="2">
        <f t="shared" si="3"/>
        <v>0.17482608000000008</v>
      </c>
    </row>
    <row r="40" spans="1:12" x14ac:dyDescent="0.35">
      <c r="A40">
        <v>3</v>
      </c>
      <c r="B40" t="s">
        <v>14</v>
      </c>
      <c r="C40">
        <v>2024</v>
      </c>
      <c r="D40" s="3">
        <v>45441</v>
      </c>
      <c r="E40" t="s">
        <v>11</v>
      </c>
      <c r="F40">
        <v>84.7</v>
      </c>
      <c r="G40">
        <v>49.2</v>
      </c>
      <c r="H40">
        <f t="shared" si="0"/>
        <v>35.5</v>
      </c>
      <c r="I40">
        <v>0.5</v>
      </c>
      <c r="J40" s="2">
        <f t="shared" si="4"/>
        <v>17.75</v>
      </c>
      <c r="K40" s="4">
        <f t="shared" si="2"/>
        <v>71</v>
      </c>
      <c r="L40" s="2">
        <f t="shared" si="3"/>
        <v>0.28732989999999997</v>
      </c>
    </row>
    <row r="41" spans="1:12" x14ac:dyDescent="0.35">
      <c r="A41">
        <v>4</v>
      </c>
      <c r="B41" t="s">
        <v>14</v>
      </c>
      <c r="C41">
        <v>2024</v>
      </c>
      <c r="D41" s="3">
        <v>45441</v>
      </c>
      <c r="E41" t="s">
        <v>11</v>
      </c>
      <c r="F41">
        <v>120.5</v>
      </c>
      <c r="G41">
        <v>49.5</v>
      </c>
      <c r="H41">
        <f t="shared" si="0"/>
        <v>71</v>
      </c>
      <c r="I41">
        <v>0.5</v>
      </c>
      <c r="J41" s="2">
        <f t="shared" si="4"/>
        <v>35.5</v>
      </c>
      <c r="K41" s="4">
        <f t="shared" si="2"/>
        <v>142</v>
      </c>
      <c r="L41" s="2">
        <f t="shared" si="3"/>
        <v>0.57465979999999994</v>
      </c>
    </row>
    <row r="42" spans="1:12" x14ac:dyDescent="0.35">
      <c r="A42">
        <v>1</v>
      </c>
      <c r="B42" t="s">
        <v>14</v>
      </c>
      <c r="C42">
        <v>2024</v>
      </c>
      <c r="D42" s="3">
        <v>45441</v>
      </c>
      <c r="E42" t="s">
        <v>12</v>
      </c>
      <c r="F42">
        <v>117.1</v>
      </c>
      <c r="G42">
        <v>49.1</v>
      </c>
      <c r="H42">
        <f t="shared" si="0"/>
        <v>68</v>
      </c>
      <c r="I42">
        <v>0.5</v>
      </c>
      <c r="J42" s="2">
        <f t="shared" si="4"/>
        <v>34</v>
      </c>
      <c r="K42" s="4">
        <f t="shared" si="2"/>
        <v>136</v>
      </c>
      <c r="L42" s="2">
        <f t="shared" si="3"/>
        <v>0.55037840000000005</v>
      </c>
    </row>
    <row r="43" spans="1:12" x14ac:dyDescent="0.35">
      <c r="A43">
        <v>2</v>
      </c>
      <c r="B43" t="s">
        <v>14</v>
      </c>
      <c r="C43">
        <v>2024</v>
      </c>
      <c r="D43" s="3">
        <v>45441</v>
      </c>
      <c r="E43" t="s">
        <v>12</v>
      </c>
      <c r="F43">
        <v>100.3</v>
      </c>
      <c r="G43">
        <v>48.2</v>
      </c>
      <c r="H43">
        <f t="shared" si="0"/>
        <v>52.099999999999994</v>
      </c>
      <c r="I43">
        <v>0.5</v>
      </c>
      <c r="J43" s="2">
        <f t="shared" si="4"/>
        <v>26.049999999999997</v>
      </c>
      <c r="K43" s="4">
        <f t="shared" si="2"/>
        <v>104.19999999999999</v>
      </c>
      <c r="L43" s="2">
        <f t="shared" si="3"/>
        <v>0.42168697999999993</v>
      </c>
    </row>
    <row r="44" spans="1:12" x14ac:dyDescent="0.35">
      <c r="A44">
        <v>3</v>
      </c>
      <c r="B44" t="s">
        <v>14</v>
      </c>
      <c r="C44">
        <v>2024</v>
      </c>
      <c r="D44" s="3">
        <v>45441</v>
      </c>
      <c r="E44" t="s">
        <v>12</v>
      </c>
      <c r="F44">
        <v>116.8</v>
      </c>
      <c r="G44">
        <v>49</v>
      </c>
      <c r="H44">
        <f t="shared" si="0"/>
        <v>67.8</v>
      </c>
      <c r="I44">
        <v>0.5</v>
      </c>
      <c r="J44" s="2">
        <f t="shared" si="4"/>
        <v>33.9</v>
      </c>
      <c r="K44" s="4">
        <f t="shared" si="2"/>
        <v>135.6</v>
      </c>
      <c r="L44" s="2">
        <f t="shared" si="3"/>
        <v>0.54875963999999999</v>
      </c>
    </row>
    <row r="45" spans="1:12" x14ac:dyDescent="0.35">
      <c r="A45">
        <v>4</v>
      </c>
      <c r="B45" t="s">
        <v>14</v>
      </c>
      <c r="C45">
        <v>2024</v>
      </c>
      <c r="D45" s="3">
        <v>45441</v>
      </c>
      <c r="E45" t="s">
        <v>12</v>
      </c>
      <c r="F45">
        <v>121.4</v>
      </c>
      <c r="G45">
        <v>49.6</v>
      </c>
      <c r="H45">
        <f t="shared" si="0"/>
        <v>71.800000000000011</v>
      </c>
      <c r="I45">
        <v>0.5</v>
      </c>
      <c r="J45" s="2">
        <f t="shared" si="4"/>
        <v>35.900000000000006</v>
      </c>
      <c r="K45" s="4">
        <f t="shared" si="2"/>
        <v>143.60000000000002</v>
      </c>
      <c r="L45" s="2">
        <f t="shared" si="3"/>
        <v>0.58113484000000004</v>
      </c>
    </row>
    <row r="46" spans="1:12" x14ac:dyDescent="0.35">
      <c r="A46">
        <v>1</v>
      </c>
      <c r="B46" t="s">
        <v>14</v>
      </c>
      <c r="C46">
        <v>2024</v>
      </c>
      <c r="D46" s="3">
        <v>45441</v>
      </c>
      <c r="E46" t="s">
        <v>13</v>
      </c>
      <c r="F46">
        <v>98</v>
      </c>
      <c r="G46">
        <v>49</v>
      </c>
      <c r="H46">
        <f t="shared" si="0"/>
        <v>49</v>
      </c>
      <c r="I46">
        <v>0.5</v>
      </c>
      <c r="J46" s="2">
        <f t="shared" si="4"/>
        <v>24.5</v>
      </c>
      <c r="K46" s="4">
        <f t="shared" si="2"/>
        <v>98</v>
      </c>
      <c r="L46" s="2">
        <f t="shared" si="3"/>
        <v>0.39659620000000001</v>
      </c>
    </row>
    <row r="47" spans="1:12" x14ac:dyDescent="0.35">
      <c r="A47">
        <v>2</v>
      </c>
      <c r="B47" t="s">
        <v>14</v>
      </c>
      <c r="C47">
        <v>2024</v>
      </c>
      <c r="D47" s="3">
        <v>45441</v>
      </c>
      <c r="E47" t="s">
        <v>13</v>
      </c>
      <c r="F47">
        <v>99.1</v>
      </c>
      <c r="G47">
        <v>49</v>
      </c>
      <c r="H47">
        <f t="shared" si="0"/>
        <v>50.099999999999994</v>
      </c>
      <c r="I47">
        <v>0.5</v>
      </c>
      <c r="J47" s="2">
        <f t="shared" si="4"/>
        <v>25.049999999999997</v>
      </c>
      <c r="K47" s="4">
        <f t="shared" si="2"/>
        <v>100.19999999999999</v>
      </c>
      <c r="L47" s="2">
        <f t="shared" si="3"/>
        <v>0.40549937999999996</v>
      </c>
    </row>
    <row r="48" spans="1:12" x14ac:dyDescent="0.35">
      <c r="A48">
        <v>3</v>
      </c>
      <c r="B48" t="s">
        <v>14</v>
      </c>
      <c r="C48">
        <v>2024</v>
      </c>
      <c r="D48" s="3">
        <v>45441</v>
      </c>
      <c r="E48" t="s">
        <v>13</v>
      </c>
      <c r="F48">
        <v>81.3</v>
      </c>
      <c r="G48">
        <v>49.4</v>
      </c>
      <c r="H48">
        <f t="shared" si="0"/>
        <v>31.9</v>
      </c>
      <c r="I48">
        <v>0.5</v>
      </c>
      <c r="J48" s="2">
        <f t="shared" si="4"/>
        <v>15.95</v>
      </c>
      <c r="K48" s="4">
        <f t="shared" si="2"/>
        <v>63.8</v>
      </c>
      <c r="L48" s="2">
        <f t="shared" si="3"/>
        <v>0.25819221999999997</v>
      </c>
    </row>
    <row r="49" spans="1:12" x14ac:dyDescent="0.35">
      <c r="A49">
        <v>4</v>
      </c>
      <c r="B49" t="s">
        <v>14</v>
      </c>
      <c r="C49">
        <v>2024</v>
      </c>
      <c r="D49" s="3">
        <v>45441</v>
      </c>
      <c r="E49" t="s">
        <v>13</v>
      </c>
      <c r="F49">
        <v>88.3</v>
      </c>
      <c r="G49">
        <v>49.4</v>
      </c>
      <c r="H49">
        <f t="shared" si="0"/>
        <v>38.9</v>
      </c>
      <c r="I49">
        <v>0.5</v>
      </c>
      <c r="J49" s="2">
        <f t="shared" si="4"/>
        <v>19.45</v>
      </c>
      <c r="K49" s="4">
        <f t="shared" si="2"/>
        <v>77.8</v>
      </c>
      <c r="L49" s="2">
        <f t="shared" si="3"/>
        <v>0.31484881999999997</v>
      </c>
    </row>
    <row r="50" spans="1:12" x14ac:dyDescent="0.35">
      <c r="A50">
        <v>1</v>
      </c>
      <c r="B50" t="s">
        <v>7</v>
      </c>
      <c r="C50">
        <v>2025</v>
      </c>
      <c r="D50" s="3">
        <v>45809</v>
      </c>
      <c r="E50" t="s">
        <v>8</v>
      </c>
      <c r="F50">
        <v>101.3</v>
      </c>
      <c r="G50">
        <v>54.7</v>
      </c>
      <c r="H50">
        <f t="shared" si="0"/>
        <v>46.599999999999994</v>
      </c>
      <c r="I50">
        <v>0.25</v>
      </c>
      <c r="J50">
        <f t="shared" ref="J50:J73" si="5" xml:space="preserve"> (H50*0.25)/I50</f>
        <v>46.599999999999994</v>
      </c>
      <c r="K50" s="4">
        <f t="shared" si="2"/>
        <v>186.39999999999998</v>
      </c>
      <c r="L50" s="2">
        <f t="shared" si="3"/>
        <v>0.75434215999999987</v>
      </c>
    </row>
    <row r="51" spans="1:12" x14ac:dyDescent="0.35">
      <c r="A51">
        <v>2</v>
      </c>
      <c r="B51" t="s">
        <v>7</v>
      </c>
      <c r="C51">
        <v>2025</v>
      </c>
      <c r="D51" s="3">
        <v>45809</v>
      </c>
      <c r="E51" t="s">
        <v>8</v>
      </c>
      <c r="F51">
        <v>112</v>
      </c>
      <c r="G51">
        <v>53.9</v>
      </c>
      <c r="H51">
        <f t="shared" si="0"/>
        <v>58.1</v>
      </c>
      <c r="I51">
        <v>0.25</v>
      </c>
      <c r="J51">
        <f t="shared" si="5"/>
        <v>58.1</v>
      </c>
      <c r="K51" s="4">
        <f t="shared" si="2"/>
        <v>232.4</v>
      </c>
      <c r="L51" s="2">
        <f t="shared" si="3"/>
        <v>0.94049956000000001</v>
      </c>
    </row>
    <row r="52" spans="1:12" x14ac:dyDescent="0.35">
      <c r="A52">
        <v>3</v>
      </c>
      <c r="B52" t="s">
        <v>7</v>
      </c>
      <c r="C52">
        <v>2025</v>
      </c>
      <c r="D52" s="3">
        <v>45809</v>
      </c>
      <c r="E52" t="s">
        <v>8</v>
      </c>
      <c r="F52">
        <v>85.7</v>
      </c>
      <c r="G52">
        <v>44.3</v>
      </c>
      <c r="H52">
        <f t="shared" si="0"/>
        <v>41.400000000000006</v>
      </c>
      <c r="I52">
        <v>0.25</v>
      </c>
      <c r="J52">
        <f t="shared" si="5"/>
        <v>41.400000000000006</v>
      </c>
      <c r="K52" s="4">
        <f t="shared" si="2"/>
        <v>165.60000000000002</v>
      </c>
      <c r="L52" s="2">
        <f t="shared" si="3"/>
        <v>0.67016664000000004</v>
      </c>
    </row>
    <row r="53" spans="1:12" x14ac:dyDescent="0.35">
      <c r="A53">
        <v>4</v>
      </c>
      <c r="B53" t="s">
        <v>7</v>
      </c>
      <c r="C53">
        <v>2025</v>
      </c>
      <c r="D53" s="3">
        <v>45809</v>
      </c>
      <c r="E53" t="s">
        <v>8</v>
      </c>
      <c r="F53">
        <v>122.8</v>
      </c>
      <c r="G53">
        <v>44.3</v>
      </c>
      <c r="H53">
        <f t="shared" si="0"/>
        <v>78.5</v>
      </c>
      <c r="I53">
        <v>0.25</v>
      </c>
      <c r="J53">
        <f t="shared" si="5"/>
        <v>78.5</v>
      </c>
      <c r="K53" s="4">
        <f t="shared" si="2"/>
        <v>314</v>
      </c>
      <c r="L53" s="2">
        <f t="shared" si="3"/>
        <v>1.2707265999999999</v>
      </c>
    </row>
    <row r="54" spans="1:12" x14ac:dyDescent="0.35">
      <c r="A54">
        <v>1</v>
      </c>
      <c r="B54" t="s">
        <v>7</v>
      </c>
      <c r="C54">
        <v>2025</v>
      </c>
      <c r="D54" s="3">
        <v>45809</v>
      </c>
      <c r="E54" t="s">
        <v>9</v>
      </c>
      <c r="F54">
        <v>337.3</v>
      </c>
      <c r="G54">
        <v>54.3</v>
      </c>
      <c r="H54">
        <f t="shared" si="0"/>
        <v>283</v>
      </c>
      <c r="I54">
        <v>0.25</v>
      </c>
      <c r="J54">
        <f t="shared" si="5"/>
        <v>283</v>
      </c>
      <c r="K54" s="4">
        <f t="shared" si="2"/>
        <v>1132</v>
      </c>
      <c r="L54" s="2">
        <f t="shared" si="3"/>
        <v>4.5810908000000001</v>
      </c>
    </row>
    <row r="55" spans="1:12" x14ac:dyDescent="0.35">
      <c r="A55">
        <v>2</v>
      </c>
      <c r="B55" t="s">
        <v>7</v>
      </c>
      <c r="C55">
        <v>2025</v>
      </c>
      <c r="D55" s="3">
        <v>45809</v>
      </c>
      <c r="E55" t="s">
        <v>9</v>
      </c>
      <c r="F55">
        <v>451</v>
      </c>
      <c r="G55">
        <v>54.6</v>
      </c>
      <c r="H55">
        <f t="shared" si="0"/>
        <v>396.4</v>
      </c>
      <c r="I55">
        <v>0.25</v>
      </c>
      <c r="J55">
        <f t="shared" si="5"/>
        <v>396.4</v>
      </c>
      <c r="K55" s="4">
        <f t="shared" si="2"/>
        <v>1585.6</v>
      </c>
      <c r="L55" s="2">
        <f t="shared" si="3"/>
        <v>6.4167646399999994</v>
      </c>
    </row>
    <row r="56" spans="1:12" x14ac:dyDescent="0.35">
      <c r="A56">
        <v>3</v>
      </c>
      <c r="B56" t="s">
        <v>7</v>
      </c>
      <c r="C56">
        <v>2025</v>
      </c>
      <c r="D56" s="3">
        <v>45809</v>
      </c>
      <c r="E56" t="s">
        <v>9</v>
      </c>
      <c r="F56">
        <v>480.3</v>
      </c>
      <c r="G56">
        <v>58.4</v>
      </c>
      <c r="H56">
        <f t="shared" si="0"/>
        <v>421.90000000000003</v>
      </c>
      <c r="I56">
        <v>0.25</v>
      </c>
      <c r="J56">
        <f t="shared" si="5"/>
        <v>421.90000000000003</v>
      </c>
      <c r="K56" s="4">
        <f t="shared" si="2"/>
        <v>1687.6000000000001</v>
      </c>
      <c r="L56" s="2">
        <f t="shared" si="3"/>
        <v>6.8295484400000008</v>
      </c>
    </row>
    <row r="57" spans="1:12" x14ac:dyDescent="0.35">
      <c r="A57">
        <v>4</v>
      </c>
      <c r="B57" t="s">
        <v>7</v>
      </c>
      <c r="C57">
        <v>2025</v>
      </c>
      <c r="D57" s="3">
        <v>45809</v>
      </c>
      <c r="E57" t="s">
        <v>9</v>
      </c>
      <c r="F57">
        <v>421.4</v>
      </c>
      <c r="G57">
        <v>43.9</v>
      </c>
      <c r="H57">
        <f t="shared" si="0"/>
        <v>377.5</v>
      </c>
      <c r="I57">
        <v>0.25</v>
      </c>
      <c r="J57">
        <f t="shared" si="5"/>
        <v>377.5</v>
      </c>
      <c r="K57" s="4">
        <f t="shared" si="2"/>
        <v>1510</v>
      </c>
      <c r="L57" s="2">
        <f t="shared" si="3"/>
        <v>6.1108190000000002</v>
      </c>
    </row>
    <row r="58" spans="1:12" x14ac:dyDescent="0.35">
      <c r="A58">
        <v>1</v>
      </c>
      <c r="B58" t="s">
        <v>7</v>
      </c>
      <c r="C58">
        <v>2025</v>
      </c>
      <c r="D58" s="3">
        <v>45809</v>
      </c>
      <c r="E58" t="s">
        <v>10</v>
      </c>
      <c r="F58">
        <v>59.7</v>
      </c>
      <c r="G58">
        <v>44.1</v>
      </c>
      <c r="H58">
        <f t="shared" si="0"/>
        <v>15.600000000000001</v>
      </c>
      <c r="I58">
        <v>0.25</v>
      </c>
      <c r="J58">
        <f t="shared" si="5"/>
        <v>15.600000000000001</v>
      </c>
      <c r="K58" s="4">
        <f t="shared" si="2"/>
        <v>62.400000000000006</v>
      </c>
      <c r="L58" s="2">
        <f t="shared" si="3"/>
        <v>0.25252656000000001</v>
      </c>
    </row>
    <row r="59" spans="1:12" x14ac:dyDescent="0.35">
      <c r="A59">
        <v>2</v>
      </c>
      <c r="B59" t="s">
        <v>7</v>
      </c>
      <c r="C59">
        <v>2025</v>
      </c>
      <c r="D59" s="3">
        <v>45809</v>
      </c>
      <c r="E59" t="s">
        <v>10</v>
      </c>
      <c r="F59">
        <v>68.400000000000006</v>
      </c>
      <c r="G59">
        <v>53.7</v>
      </c>
      <c r="H59">
        <f t="shared" si="0"/>
        <v>14.700000000000003</v>
      </c>
      <c r="I59">
        <v>0.25</v>
      </c>
      <c r="J59">
        <f t="shared" si="5"/>
        <v>14.700000000000003</v>
      </c>
      <c r="K59" s="4">
        <f t="shared" si="2"/>
        <v>58.800000000000011</v>
      </c>
      <c r="L59" s="2">
        <f t="shared" si="3"/>
        <v>0.23795772000000004</v>
      </c>
    </row>
    <row r="60" spans="1:12" x14ac:dyDescent="0.35">
      <c r="A60">
        <v>3</v>
      </c>
      <c r="B60" t="s">
        <v>7</v>
      </c>
      <c r="C60">
        <v>2025</v>
      </c>
      <c r="D60" s="3">
        <v>45809</v>
      </c>
      <c r="E60" t="s">
        <v>10</v>
      </c>
      <c r="F60">
        <v>47.5</v>
      </c>
      <c r="G60">
        <v>43.5</v>
      </c>
      <c r="H60">
        <f t="shared" si="0"/>
        <v>4</v>
      </c>
      <c r="I60">
        <v>0.25</v>
      </c>
      <c r="J60">
        <f t="shared" si="5"/>
        <v>4</v>
      </c>
      <c r="K60" s="4">
        <f t="shared" si="2"/>
        <v>16</v>
      </c>
      <c r="L60" s="2">
        <f t="shared" si="3"/>
        <v>6.47504E-2</v>
      </c>
    </row>
    <row r="61" spans="1:12" x14ac:dyDescent="0.35">
      <c r="A61">
        <v>4</v>
      </c>
      <c r="B61" t="s">
        <v>7</v>
      </c>
      <c r="C61">
        <v>2025</v>
      </c>
      <c r="D61" s="3">
        <v>45809</v>
      </c>
      <c r="E61" t="s">
        <v>10</v>
      </c>
      <c r="F61">
        <v>53.8</v>
      </c>
      <c r="G61">
        <v>44.1</v>
      </c>
      <c r="H61">
        <f t="shared" si="0"/>
        <v>9.6999999999999957</v>
      </c>
      <c r="I61">
        <v>0.25</v>
      </c>
      <c r="J61">
        <f t="shared" si="5"/>
        <v>9.6999999999999957</v>
      </c>
      <c r="K61" s="4">
        <f t="shared" si="2"/>
        <v>38.799999999999983</v>
      </c>
      <c r="L61" s="2">
        <f t="shared" si="3"/>
        <v>0.15701971999999992</v>
      </c>
    </row>
    <row r="62" spans="1:12" x14ac:dyDescent="0.35">
      <c r="A62">
        <v>1</v>
      </c>
      <c r="B62" t="s">
        <v>7</v>
      </c>
      <c r="C62">
        <v>2025</v>
      </c>
      <c r="D62" s="3">
        <v>45809</v>
      </c>
      <c r="E62" t="s">
        <v>11</v>
      </c>
      <c r="F62">
        <v>68.3</v>
      </c>
      <c r="G62">
        <v>54.7</v>
      </c>
      <c r="H62">
        <f t="shared" si="0"/>
        <v>13.599999999999994</v>
      </c>
      <c r="I62">
        <v>0.25</v>
      </c>
      <c r="J62">
        <f t="shared" si="5"/>
        <v>13.599999999999994</v>
      </c>
      <c r="K62" s="4">
        <f t="shared" si="2"/>
        <v>54.399999999999977</v>
      </c>
      <c r="L62" s="2">
        <f t="shared" si="3"/>
        <v>0.22015135999999991</v>
      </c>
    </row>
    <row r="63" spans="1:12" x14ac:dyDescent="0.35">
      <c r="A63">
        <v>2</v>
      </c>
      <c r="B63" t="s">
        <v>7</v>
      </c>
      <c r="C63">
        <v>2025</v>
      </c>
      <c r="D63" s="3">
        <v>45809</v>
      </c>
      <c r="E63" t="s">
        <v>11</v>
      </c>
      <c r="F63">
        <v>109.9</v>
      </c>
      <c r="G63">
        <v>53.9</v>
      </c>
      <c r="H63">
        <f t="shared" si="0"/>
        <v>56.000000000000007</v>
      </c>
      <c r="I63">
        <v>0.25</v>
      </c>
      <c r="J63">
        <f t="shared" si="5"/>
        <v>56.000000000000007</v>
      </c>
      <c r="K63" s="4">
        <f t="shared" si="2"/>
        <v>224.00000000000003</v>
      </c>
      <c r="L63" s="2">
        <f t="shared" si="3"/>
        <v>0.90650560000000013</v>
      </c>
    </row>
    <row r="64" spans="1:12" x14ac:dyDescent="0.35">
      <c r="A64">
        <v>3</v>
      </c>
      <c r="B64" t="s">
        <v>7</v>
      </c>
      <c r="C64">
        <v>2025</v>
      </c>
      <c r="D64" s="3">
        <v>45809</v>
      </c>
      <c r="E64" t="s">
        <v>11</v>
      </c>
      <c r="F64">
        <v>69.2</v>
      </c>
      <c r="G64">
        <v>44.2</v>
      </c>
      <c r="H64">
        <f t="shared" si="0"/>
        <v>25</v>
      </c>
      <c r="I64">
        <v>0.25</v>
      </c>
      <c r="J64">
        <f t="shared" si="5"/>
        <v>25</v>
      </c>
      <c r="K64" s="4">
        <f t="shared" si="2"/>
        <v>100</v>
      </c>
      <c r="L64" s="2">
        <f t="shared" si="3"/>
        <v>0.40468999999999999</v>
      </c>
    </row>
    <row r="65" spans="1:12" x14ac:dyDescent="0.35">
      <c r="A65">
        <v>4</v>
      </c>
      <c r="B65" t="s">
        <v>7</v>
      </c>
      <c r="C65">
        <v>2025</v>
      </c>
      <c r="D65" s="3">
        <v>45809</v>
      </c>
      <c r="E65" t="s">
        <v>11</v>
      </c>
      <c r="F65">
        <v>62.2</v>
      </c>
      <c r="G65">
        <v>44.5</v>
      </c>
      <c r="H65">
        <f t="shared" si="0"/>
        <v>17.700000000000003</v>
      </c>
      <c r="I65">
        <v>0.25</v>
      </c>
      <c r="J65">
        <f t="shared" si="5"/>
        <v>17.700000000000003</v>
      </c>
      <c r="K65" s="4">
        <f t="shared" si="2"/>
        <v>70.800000000000011</v>
      </c>
      <c r="L65" s="2">
        <f t="shared" si="3"/>
        <v>0.28652052000000006</v>
      </c>
    </row>
    <row r="66" spans="1:12" x14ac:dyDescent="0.35">
      <c r="A66">
        <v>1</v>
      </c>
      <c r="B66" t="s">
        <v>7</v>
      </c>
      <c r="C66">
        <v>2025</v>
      </c>
      <c r="D66" s="3">
        <v>45809</v>
      </c>
      <c r="E66" t="s">
        <v>12</v>
      </c>
      <c r="F66">
        <v>123.8</v>
      </c>
      <c r="G66">
        <v>43.5</v>
      </c>
      <c r="H66">
        <f t="shared" ref="H66:H97" si="6">F66-G66</f>
        <v>80.3</v>
      </c>
      <c r="I66">
        <v>0.25</v>
      </c>
      <c r="J66">
        <f t="shared" si="5"/>
        <v>80.3</v>
      </c>
      <c r="K66" s="4">
        <f t="shared" si="2"/>
        <v>321.2</v>
      </c>
      <c r="L66" s="2">
        <f t="shared" si="3"/>
        <v>1.29986428</v>
      </c>
    </row>
    <row r="67" spans="1:12" x14ac:dyDescent="0.35">
      <c r="A67">
        <v>2</v>
      </c>
      <c r="B67" t="s">
        <v>7</v>
      </c>
      <c r="C67">
        <v>2025</v>
      </c>
      <c r="D67" s="3">
        <v>45809</v>
      </c>
      <c r="E67" t="s">
        <v>12</v>
      </c>
      <c r="F67">
        <v>152</v>
      </c>
      <c r="G67">
        <v>53.9</v>
      </c>
      <c r="H67">
        <f t="shared" si="6"/>
        <v>98.1</v>
      </c>
      <c r="I67">
        <v>0.25</v>
      </c>
      <c r="J67">
        <f t="shared" si="5"/>
        <v>98.1</v>
      </c>
      <c r="K67" s="4">
        <f t="shared" ref="K67:K97" si="7">J67/0.25</f>
        <v>392.4</v>
      </c>
      <c r="L67" s="2">
        <f t="shared" ref="L67:L97" si="8">K67*0.0040469</f>
        <v>1.58800356</v>
      </c>
    </row>
    <row r="68" spans="1:12" x14ac:dyDescent="0.35">
      <c r="A68">
        <v>3</v>
      </c>
      <c r="B68" t="s">
        <v>7</v>
      </c>
      <c r="C68">
        <v>2025</v>
      </c>
      <c r="D68" s="3">
        <v>45809</v>
      </c>
      <c r="E68" t="s">
        <v>12</v>
      </c>
      <c r="F68">
        <v>157.69999999999999</v>
      </c>
      <c r="G68">
        <v>44.9</v>
      </c>
      <c r="H68">
        <f t="shared" si="6"/>
        <v>112.79999999999998</v>
      </c>
      <c r="I68">
        <v>0.25</v>
      </c>
      <c r="J68">
        <f t="shared" si="5"/>
        <v>112.79999999999998</v>
      </c>
      <c r="K68" s="4">
        <f t="shared" si="7"/>
        <v>451.19999999999993</v>
      </c>
      <c r="L68" s="2">
        <f t="shared" si="8"/>
        <v>1.8259612799999998</v>
      </c>
    </row>
    <row r="69" spans="1:12" x14ac:dyDescent="0.35">
      <c r="A69">
        <v>4</v>
      </c>
      <c r="B69" t="s">
        <v>7</v>
      </c>
      <c r="C69">
        <v>2025</v>
      </c>
      <c r="D69" s="3">
        <v>45809</v>
      </c>
      <c r="E69" t="s">
        <v>12</v>
      </c>
      <c r="F69">
        <v>202.6</v>
      </c>
      <c r="G69">
        <v>44.3</v>
      </c>
      <c r="H69">
        <f t="shared" si="6"/>
        <v>158.30000000000001</v>
      </c>
      <c r="I69">
        <v>0.25</v>
      </c>
      <c r="J69">
        <f t="shared" si="5"/>
        <v>158.30000000000001</v>
      </c>
      <c r="K69" s="4">
        <f t="shared" si="7"/>
        <v>633.20000000000005</v>
      </c>
      <c r="L69" s="2">
        <f t="shared" si="8"/>
        <v>2.56249708</v>
      </c>
    </row>
    <row r="70" spans="1:12" x14ac:dyDescent="0.35">
      <c r="A70">
        <v>1</v>
      </c>
      <c r="B70" t="s">
        <v>7</v>
      </c>
      <c r="C70">
        <v>2025</v>
      </c>
      <c r="D70" s="3">
        <v>45809</v>
      </c>
      <c r="E70" t="s">
        <v>13</v>
      </c>
      <c r="F70">
        <v>55.1</v>
      </c>
      <c r="G70">
        <v>43.9</v>
      </c>
      <c r="H70">
        <f t="shared" si="6"/>
        <v>11.200000000000003</v>
      </c>
      <c r="I70">
        <v>0.25</v>
      </c>
      <c r="J70">
        <f t="shared" si="5"/>
        <v>11.200000000000003</v>
      </c>
      <c r="K70" s="4">
        <f t="shared" si="7"/>
        <v>44.800000000000011</v>
      </c>
      <c r="L70" s="2">
        <f t="shared" si="8"/>
        <v>0.18130112000000004</v>
      </c>
    </row>
    <row r="71" spans="1:12" x14ac:dyDescent="0.35">
      <c r="A71">
        <v>2</v>
      </c>
      <c r="B71" t="s">
        <v>7</v>
      </c>
      <c r="C71">
        <v>2025</v>
      </c>
      <c r="D71" s="3">
        <v>45809</v>
      </c>
      <c r="E71" t="s">
        <v>13</v>
      </c>
      <c r="F71">
        <v>97.2</v>
      </c>
      <c r="G71">
        <v>53.4</v>
      </c>
      <c r="H71">
        <f t="shared" si="6"/>
        <v>43.800000000000004</v>
      </c>
      <c r="I71">
        <v>0.25</v>
      </c>
      <c r="J71">
        <f t="shared" si="5"/>
        <v>43.800000000000004</v>
      </c>
      <c r="K71" s="4">
        <f t="shared" si="7"/>
        <v>175.20000000000002</v>
      </c>
      <c r="L71" s="2">
        <f t="shared" si="8"/>
        <v>0.70901688000000007</v>
      </c>
    </row>
    <row r="72" spans="1:12" x14ac:dyDescent="0.35">
      <c r="A72">
        <v>3</v>
      </c>
      <c r="B72" t="s">
        <v>7</v>
      </c>
      <c r="C72">
        <v>2025</v>
      </c>
      <c r="D72" s="3">
        <v>45809</v>
      </c>
      <c r="E72" t="s">
        <v>13</v>
      </c>
      <c r="F72">
        <v>87.1</v>
      </c>
      <c r="G72">
        <v>44.6</v>
      </c>
      <c r="H72">
        <f t="shared" si="6"/>
        <v>42.499999999999993</v>
      </c>
      <c r="I72">
        <v>0.25</v>
      </c>
      <c r="J72">
        <f t="shared" si="5"/>
        <v>42.499999999999993</v>
      </c>
      <c r="K72" s="4">
        <f t="shared" si="7"/>
        <v>169.99999999999997</v>
      </c>
      <c r="L72" s="2">
        <f t="shared" si="8"/>
        <v>0.68797299999999983</v>
      </c>
    </row>
    <row r="73" spans="1:12" x14ac:dyDescent="0.35">
      <c r="A73">
        <v>4</v>
      </c>
      <c r="B73" t="s">
        <v>7</v>
      </c>
      <c r="C73">
        <v>2025</v>
      </c>
      <c r="D73" s="3">
        <v>45809</v>
      </c>
      <c r="E73" t="s">
        <v>13</v>
      </c>
      <c r="F73">
        <v>67.3</v>
      </c>
      <c r="G73">
        <v>43.5</v>
      </c>
      <c r="H73">
        <f t="shared" si="6"/>
        <v>23.799999999999997</v>
      </c>
      <c r="I73">
        <v>0.25</v>
      </c>
      <c r="J73">
        <f t="shared" si="5"/>
        <v>23.799999999999997</v>
      </c>
      <c r="K73" s="4">
        <f t="shared" si="7"/>
        <v>95.199999999999989</v>
      </c>
      <c r="L73" s="2">
        <f t="shared" si="8"/>
        <v>0.38526487999999998</v>
      </c>
    </row>
    <row r="74" spans="1:12" x14ac:dyDescent="0.35">
      <c r="A74">
        <v>1</v>
      </c>
      <c r="B74" t="s">
        <v>14</v>
      </c>
      <c r="C74">
        <v>2025</v>
      </c>
      <c r="E74" t="s">
        <v>8</v>
      </c>
      <c r="F74">
        <v>337.7</v>
      </c>
      <c r="G74">
        <v>50.9</v>
      </c>
      <c r="H74">
        <f t="shared" si="6"/>
        <v>286.8</v>
      </c>
      <c r="I74">
        <v>0.74</v>
      </c>
      <c r="J74" s="2">
        <f t="shared" ref="J74:J97" si="9">(H74*0.25)/I74</f>
        <v>96.891891891891902</v>
      </c>
      <c r="K74" s="4">
        <f t="shared" si="7"/>
        <v>387.56756756756761</v>
      </c>
      <c r="L74" s="2">
        <f t="shared" si="8"/>
        <v>1.5684471891891894</v>
      </c>
    </row>
    <row r="75" spans="1:12" x14ac:dyDescent="0.35">
      <c r="A75">
        <v>2</v>
      </c>
      <c r="B75" t="s">
        <v>14</v>
      </c>
      <c r="C75">
        <v>2025</v>
      </c>
      <c r="E75" t="s">
        <v>8</v>
      </c>
      <c r="F75">
        <v>231.5</v>
      </c>
      <c r="G75">
        <v>48.5</v>
      </c>
      <c r="H75">
        <f t="shared" si="6"/>
        <v>183</v>
      </c>
      <c r="I75">
        <v>0.74</v>
      </c>
      <c r="J75" s="2">
        <f t="shared" si="9"/>
        <v>61.824324324324323</v>
      </c>
      <c r="K75" s="4">
        <f t="shared" si="7"/>
        <v>247.29729729729729</v>
      </c>
      <c r="L75" s="2">
        <f t="shared" si="8"/>
        <v>1.0007874324324324</v>
      </c>
    </row>
    <row r="76" spans="1:12" x14ac:dyDescent="0.35">
      <c r="A76">
        <v>3</v>
      </c>
      <c r="B76" t="s">
        <v>14</v>
      </c>
      <c r="C76">
        <v>2025</v>
      </c>
      <c r="E76" t="s">
        <v>8</v>
      </c>
      <c r="F76">
        <v>221.5</v>
      </c>
      <c r="G76">
        <v>49.9</v>
      </c>
      <c r="H76">
        <f t="shared" si="6"/>
        <v>171.6</v>
      </c>
      <c r="I76">
        <v>0.74</v>
      </c>
      <c r="J76" s="2">
        <f t="shared" si="9"/>
        <v>57.972972972972968</v>
      </c>
      <c r="K76" s="4">
        <f t="shared" si="7"/>
        <v>231.89189189189187</v>
      </c>
      <c r="L76" s="2">
        <f t="shared" si="8"/>
        <v>0.93844329729729725</v>
      </c>
    </row>
    <row r="77" spans="1:12" x14ac:dyDescent="0.35">
      <c r="A77">
        <v>4</v>
      </c>
      <c r="B77" t="s">
        <v>14</v>
      </c>
      <c r="C77">
        <v>2025</v>
      </c>
      <c r="E77" t="s">
        <v>8</v>
      </c>
      <c r="F77">
        <v>363</v>
      </c>
      <c r="G77">
        <v>49.4</v>
      </c>
      <c r="H77">
        <f t="shared" si="6"/>
        <v>313.60000000000002</v>
      </c>
      <c r="I77">
        <v>0.74</v>
      </c>
      <c r="J77" s="2">
        <f t="shared" si="9"/>
        <v>105.94594594594595</v>
      </c>
      <c r="K77" s="4">
        <f t="shared" si="7"/>
        <v>423.7837837837838</v>
      </c>
      <c r="L77" s="2">
        <f t="shared" si="8"/>
        <v>1.7150105945945946</v>
      </c>
    </row>
    <row r="78" spans="1:12" x14ac:dyDescent="0.35">
      <c r="A78">
        <v>1</v>
      </c>
      <c r="B78" t="s">
        <v>14</v>
      </c>
      <c r="C78">
        <v>2025</v>
      </c>
      <c r="E78" t="s">
        <v>9</v>
      </c>
      <c r="F78">
        <v>224.5</v>
      </c>
      <c r="G78">
        <v>50.1</v>
      </c>
      <c r="H78">
        <f t="shared" si="6"/>
        <v>174.4</v>
      </c>
      <c r="I78">
        <v>0.37</v>
      </c>
      <c r="J78" s="2">
        <f t="shared" si="9"/>
        <v>117.83783783783784</v>
      </c>
      <c r="K78" s="4">
        <f t="shared" si="7"/>
        <v>471.35135135135135</v>
      </c>
      <c r="L78" s="2">
        <f t="shared" si="8"/>
        <v>1.9075117837837838</v>
      </c>
    </row>
    <row r="79" spans="1:12" x14ac:dyDescent="0.35">
      <c r="A79">
        <v>2</v>
      </c>
      <c r="B79" t="s">
        <v>14</v>
      </c>
      <c r="C79">
        <v>2025</v>
      </c>
      <c r="E79" t="s">
        <v>9</v>
      </c>
      <c r="F79">
        <v>321.60000000000002</v>
      </c>
      <c r="G79">
        <v>49</v>
      </c>
      <c r="H79">
        <f t="shared" si="6"/>
        <v>272.60000000000002</v>
      </c>
      <c r="I79">
        <v>0.37</v>
      </c>
      <c r="J79" s="2">
        <f t="shared" si="9"/>
        <v>184.18918918918919</v>
      </c>
      <c r="K79" s="4">
        <f t="shared" si="7"/>
        <v>736.75675675675677</v>
      </c>
      <c r="L79" s="2">
        <f t="shared" si="8"/>
        <v>2.9815809189189189</v>
      </c>
    </row>
    <row r="80" spans="1:12" x14ac:dyDescent="0.35">
      <c r="A80">
        <v>3</v>
      </c>
      <c r="B80" t="s">
        <v>14</v>
      </c>
      <c r="C80">
        <v>2025</v>
      </c>
      <c r="E80" t="s">
        <v>9</v>
      </c>
      <c r="F80">
        <v>273.5</v>
      </c>
      <c r="G80">
        <v>49.6</v>
      </c>
      <c r="H80">
        <f t="shared" si="6"/>
        <v>223.9</v>
      </c>
      <c r="I80">
        <v>0.37</v>
      </c>
      <c r="J80" s="2">
        <f t="shared" si="9"/>
        <v>151.28378378378378</v>
      </c>
      <c r="K80" s="4">
        <f t="shared" si="7"/>
        <v>605.1351351351351</v>
      </c>
      <c r="L80" s="2">
        <f t="shared" si="8"/>
        <v>2.4489213783783783</v>
      </c>
    </row>
    <row r="81" spans="1:12" x14ac:dyDescent="0.35">
      <c r="A81">
        <v>4</v>
      </c>
      <c r="B81" t="s">
        <v>14</v>
      </c>
      <c r="C81">
        <v>2025</v>
      </c>
      <c r="E81" t="s">
        <v>9</v>
      </c>
      <c r="F81">
        <v>336.9</v>
      </c>
      <c r="G81">
        <v>49.6</v>
      </c>
      <c r="H81">
        <f t="shared" si="6"/>
        <v>287.29999999999995</v>
      </c>
      <c r="I81">
        <v>0.37</v>
      </c>
      <c r="J81" s="2">
        <f t="shared" si="9"/>
        <v>194.12162162162159</v>
      </c>
      <c r="K81" s="4">
        <f t="shared" si="7"/>
        <v>776.48648648648634</v>
      </c>
      <c r="L81" s="2">
        <f t="shared" si="8"/>
        <v>3.1423631621621615</v>
      </c>
    </row>
    <row r="82" spans="1:12" x14ac:dyDescent="0.35">
      <c r="A82">
        <v>1</v>
      </c>
      <c r="B82" t="s">
        <v>14</v>
      </c>
      <c r="C82">
        <v>2025</v>
      </c>
      <c r="E82" t="s">
        <v>10</v>
      </c>
      <c r="F82">
        <v>0</v>
      </c>
      <c r="G82">
        <v>0</v>
      </c>
      <c r="H82">
        <f t="shared" si="6"/>
        <v>0</v>
      </c>
      <c r="I82">
        <v>0.74</v>
      </c>
      <c r="J82" s="2">
        <f t="shared" si="9"/>
        <v>0</v>
      </c>
      <c r="K82" s="4">
        <f t="shared" si="7"/>
        <v>0</v>
      </c>
      <c r="L82" s="2">
        <f t="shared" si="8"/>
        <v>0</v>
      </c>
    </row>
    <row r="83" spans="1:12" x14ac:dyDescent="0.35">
      <c r="A83">
        <v>2</v>
      </c>
      <c r="B83" t="s">
        <v>14</v>
      </c>
      <c r="C83">
        <v>2025</v>
      </c>
      <c r="E83" t="s">
        <v>10</v>
      </c>
      <c r="F83">
        <v>0</v>
      </c>
      <c r="G83">
        <v>0</v>
      </c>
      <c r="H83">
        <f t="shared" si="6"/>
        <v>0</v>
      </c>
      <c r="I83">
        <v>0.74</v>
      </c>
      <c r="J83" s="2">
        <f t="shared" si="9"/>
        <v>0</v>
      </c>
      <c r="K83" s="4">
        <f t="shared" si="7"/>
        <v>0</v>
      </c>
      <c r="L83" s="2">
        <f t="shared" si="8"/>
        <v>0</v>
      </c>
    </row>
    <row r="84" spans="1:12" x14ac:dyDescent="0.35">
      <c r="A84">
        <v>3</v>
      </c>
      <c r="B84" t="s">
        <v>14</v>
      </c>
      <c r="C84">
        <v>2025</v>
      </c>
      <c r="E84" t="s">
        <v>10</v>
      </c>
      <c r="F84">
        <v>0</v>
      </c>
      <c r="G84">
        <v>0</v>
      </c>
      <c r="H84">
        <f t="shared" si="6"/>
        <v>0</v>
      </c>
      <c r="I84">
        <v>0.74</v>
      </c>
      <c r="J84" s="2">
        <f t="shared" si="9"/>
        <v>0</v>
      </c>
      <c r="K84" s="4">
        <f t="shared" si="7"/>
        <v>0</v>
      </c>
      <c r="L84" s="2">
        <f t="shared" si="8"/>
        <v>0</v>
      </c>
    </row>
    <row r="85" spans="1:12" x14ac:dyDescent="0.35">
      <c r="A85">
        <v>4</v>
      </c>
      <c r="B85" t="s">
        <v>14</v>
      </c>
      <c r="C85">
        <v>2025</v>
      </c>
      <c r="E85" t="s">
        <v>10</v>
      </c>
      <c r="F85">
        <v>0</v>
      </c>
      <c r="G85">
        <v>0</v>
      </c>
      <c r="H85">
        <f t="shared" si="6"/>
        <v>0</v>
      </c>
      <c r="I85">
        <v>0.74</v>
      </c>
      <c r="J85" s="2">
        <f t="shared" si="9"/>
        <v>0</v>
      </c>
      <c r="K85" s="4">
        <f t="shared" si="7"/>
        <v>0</v>
      </c>
      <c r="L85" s="2">
        <f t="shared" si="8"/>
        <v>0</v>
      </c>
    </row>
    <row r="86" spans="1:12" x14ac:dyDescent="0.35">
      <c r="A86">
        <v>1</v>
      </c>
      <c r="B86" t="s">
        <v>14</v>
      </c>
      <c r="C86">
        <v>2025</v>
      </c>
      <c r="E86" t="s">
        <v>11</v>
      </c>
      <c r="F86">
        <v>410</v>
      </c>
      <c r="G86">
        <v>48.4</v>
      </c>
      <c r="H86">
        <f t="shared" si="6"/>
        <v>361.6</v>
      </c>
      <c r="I86">
        <v>0.74</v>
      </c>
      <c r="J86" s="2">
        <f t="shared" si="9"/>
        <v>122.16216216216218</v>
      </c>
      <c r="K86" s="4">
        <f t="shared" si="7"/>
        <v>488.6486486486487</v>
      </c>
      <c r="L86" s="2">
        <f t="shared" si="8"/>
        <v>1.9775122162162164</v>
      </c>
    </row>
    <row r="87" spans="1:12" x14ac:dyDescent="0.35">
      <c r="A87">
        <v>2</v>
      </c>
      <c r="B87" t="s">
        <v>14</v>
      </c>
      <c r="C87">
        <v>2025</v>
      </c>
      <c r="E87" t="s">
        <v>11</v>
      </c>
      <c r="F87">
        <v>297.7</v>
      </c>
      <c r="G87">
        <v>50.4</v>
      </c>
      <c r="H87">
        <f t="shared" si="6"/>
        <v>247.29999999999998</v>
      </c>
      <c r="I87">
        <v>0.74</v>
      </c>
      <c r="J87" s="2">
        <f t="shared" si="9"/>
        <v>83.547297297297291</v>
      </c>
      <c r="K87" s="4">
        <f t="shared" si="7"/>
        <v>334.18918918918916</v>
      </c>
      <c r="L87" s="2">
        <f t="shared" si="8"/>
        <v>1.3524302297297297</v>
      </c>
    </row>
    <row r="88" spans="1:12" x14ac:dyDescent="0.35">
      <c r="A88">
        <v>3</v>
      </c>
      <c r="B88" t="s">
        <v>14</v>
      </c>
      <c r="C88">
        <v>2025</v>
      </c>
      <c r="E88" t="s">
        <v>11</v>
      </c>
      <c r="F88">
        <v>312.2</v>
      </c>
      <c r="G88">
        <v>49.8</v>
      </c>
      <c r="H88">
        <f t="shared" si="6"/>
        <v>262.39999999999998</v>
      </c>
      <c r="I88">
        <v>0.74</v>
      </c>
      <c r="J88" s="2">
        <f t="shared" si="9"/>
        <v>88.648648648648646</v>
      </c>
      <c r="K88" s="4">
        <f t="shared" si="7"/>
        <v>354.59459459459458</v>
      </c>
      <c r="L88" s="2">
        <f t="shared" si="8"/>
        <v>1.4350088648648649</v>
      </c>
    </row>
    <row r="89" spans="1:12" x14ac:dyDescent="0.35">
      <c r="A89">
        <v>4</v>
      </c>
      <c r="B89" t="s">
        <v>14</v>
      </c>
      <c r="C89">
        <v>2025</v>
      </c>
      <c r="E89" t="s">
        <v>11</v>
      </c>
      <c r="F89">
        <v>373.9</v>
      </c>
      <c r="G89">
        <v>49.9</v>
      </c>
      <c r="H89">
        <f t="shared" si="6"/>
        <v>324</v>
      </c>
      <c r="I89">
        <v>0.74</v>
      </c>
      <c r="J89" s="2">
        <f t="shared" si="9"/>
        <v>109.45945945945947</v>
      </c>
      <c r="K89" s="4">
        <f t="shared" si="7"/>
        <v>437.83783783783787</v>
      </c>
      <c r="L89" s="2">
        <f t="shared" si="8"/>
        <v>1.771885945945946</v>
      </c>
    </row>
    <row r="90" spans="1:12" x14ac:dyDescent="0.35">
      <c r="A90">
        <v>1</v>
      </c>
      <c r="B90" t="s">
        <v>14</v>
      </c>
      <c r="C90">
        <v>2025</v>
      </c>
      <c r="E90" t="s">
        <v>12</v>
      </c>
      <c r="F90">
        <v>264.60000000000002</v>
      </c>
      <c r="G90">
        <v>50.8</v>
      </c>
      <c r="H90">
        <f t="shared" si="6"/>
        <v>213.8</v>
      </c>
      <c r="I90">
        <v>0.74</v>
      </c>
      <c r="J90" s="2">
        <f t="shared" si="9"/>
        <v>72.22972972972974</v>
      </c>
      <c r="K90" s="4">
        <f t="shared" si="7"/>
        <v>288.91891891891896</v>
      </c>
      <c r="L90" s="2">
        <f t="shared" si="8"/>
        <v>1.169225972972973</v>
      </c>
    </row>
    <row r="91" spans="1:12" x14ac:dyDescent="0.35">
      <c r="A91">
        <v>2</v>
      </c>
      <c r="B91" t="s">
        <v>14</v>
      </c>
      <c r="C91">
        <v>2025</v>
      </c>
      <c r="E91" t="s">
        <v>12</v>
      </c>
      <c r="F91">
        <v>110.5</v>
      </c>
      <c r="G91">
        <v>49.8</v>
      </c>
      <c r="H91">
        <f t="shared" si="6"/>
        <v>60.7</v>
      </c>
      <c r="I91">
        <v>0.74</v>
      </c>
      <c r="J91" s="2">
        <f t="shared" si="9"/>
        <v>20.506756756756758</v>
      </c>
      <c r="K91" s="4">
        <f t="shared" si="7"/>
        <v>82.027027027027032</v>
      </c>
      <c r="L91" s="2">
        <f t="shared" si="8"/>
        <v>0.33195517567567567</v>
      </c>
    </row>
    <row r="92" spans="1:12" x14ac:dyDescent="0.35">
      <c r="A92">
        <v>3</v>
      </c>
      <c r="B92" t="s">
        <v>14</v>
      </c>
      <c r="C92">
        <v>2025</v>
      </c>
      <c r="E92" t="s">
        <v>12</v>
      </c>
      <c r="F92">
        <v>364.4</v>
      </c>
      <c r="G92">
        <v>49.7</v>
      </c>
      <c r="H92">
        <f t="shared" si="6"/>
        <v>314.7</v>
      </c>
      <c r="I92">
        <v>0.74</v>
      </c>
      <c r="J92" s="2">
        <f t="shared" si="9"/>
        <v>106.31756756756756</v>
      </c>
      <c r="K92" s="4">
        <f t="shared" si="7"/>
        <v>425.27027027027026</v>
      </c>
      <c r="L92" s="2">
        <f t="shared" si="8"/>
        <v>1.7210262567567567</v>
      </c>
    </row>
    <row r="93" spans="1:12" x14ac:dyDescent="0.35">
      <c r="A93">
        <v>4</v>
      </c>
      <c r="B93" t="s">
        <v>14</v>
      </c>
      <c r="C93">
        <v>2025</v>
      </c>
      <c r="E93" t="s">
        <v>12</v>
      </c>
      <c r="F93">
        <v>305.60000000000002</v>
      </c>
      <c r="G93">
        <v>49.8</v>
      </c>
      <c r="H93">
        <f t="shared" si="6"/>
        <v>255.8</v>
      </c>
      <c r="I93">
        <v>0.74</v>
      </c>
      <c r="J93" s="2">
        <f t="shared" si="9"/>
        <v>86.418918918918919</v>
      </c>
      <c r="K93" s="4">
        <f t="shared" si="7"/>
        <v>345.67567567567568</v>
      </c>
      <c r="L93" s="2">
        <f t="shared" si="8"/>
        <v>1.3989148918918919</v>
      </c>
    </row>
    <row r="94" spans="1:12" x14ac:dyDescent="0.35">
      <c r="A94">
        <v>1</v>
      </c>
      <c r="B94" t="s">
        <v>14</v>
      </c>
      <c r="C94">
        <v>2025</v>
      </c>
      <c r="E94" t="s">
        <v>13</v>
      </c>
      <c r="F94">
        <v>349.8</v>
      </c>
      <c r="G94">
        <v>49.3</v>
      </c>
      <c r="H94">
        <f t="shared" si="6"/>
        <v>300.5</v>
      </c>
      <c r="I94">
        <v>0.74</v>
      </c>
      <c r="J94" s="2">
        <f t="shared" si="9"/>
        <v>101.52027027027027</v>
      </c>
      <c r="K94" s="4">
        <f t="shared" si="7"/>
        <v>406.08108108108109</v>
      </c>
      <c r="L94" s="2">
        <f t="shared" si="8"/>
        <v>1.643369527027027</v>
      </c>
    </row>
    <row r="95" spans="1:12" x14ac:dyDescent="0.35">
      <c r="A95">
        <v>2</v>
      </c>
      <c r="B95" t="s">
        <v>14</v>
      </c>
      <c r="C95">
        <v>2025</v>
      </c>
      <c r="E95" t="s">
        <v>13</v>
      </c>
      <c r="F95">
        <v>386.3</v>
      </c>
      <c r="G95">
        <v>49.9</v>
      </c>
      <c r="H95">
        <f t="shared" si="6"/>
        <v>336.40000000000003</v>
      </c>
      <c r="I95">
        <v>0.74</v>
      </c>
      <c r="J95" s="2">
        <f t="shared" si="9"/>
        <v>113.64864864864866</v>
      </c>
      <c r="K95" s="4">
        <f t="shared" si="7"/>
        <v>454.59459459459464</v>
      </c>
      <c r="L95" s="2">
        <f t="shared" si="8"/>
        <v>1.8396988648648651</v>
      </c>
    </row>
    <row r="96" spans="1:12" x14ac:dyDescent="0.35">
      <c r="A96">
        <v>3</v>
      </c>
      <c r="B96" t="s">
        <v>14</v>
      </c>
      <c r="C96">
        <v>2025</v>
      </c>
      <c r="E96" t="s">
        <v>13</v>
      </c>
      <c r="F96">
        <v>415.3</v>
      </c>
      <c r="G96">
        <v>49.7</v>
      </c>
      <c r="H96">
        <f t="shared" si="6"/>
        <v>365.6</v>
      </c>
      <c r="I96">
        <v>0.74</v>
      </c>
      <c r="J96" s="2">
        <f t="shared" si="9"/>
        <v>123.51351351351352</v>
      </c>
      <c r="K96" s="4">
        <f t="shared" si="7"/>
        <v>494.05405405405406</v>
      </c>
      <c r="L96" s="2">
        <f t="shared" si="8"/>
        <v>1.9993873513513514</v>
      </c>
    </row>
    <row r="97" spans="1:12" x14ac:dyDescent="0.35">
      <c r="A97">
        <v>4</v>
      </c>
      <c r="B97" t="s">
        <v>14</v>
      </c>
      <c r="C97">
        <v>2025</v>
      </c>
      <c r="E97" t="s">
        <v>13</v>
      </c>
      <c r="F97">
        <v>510.7</v>
      </c>
      <c r="G97">
        <v>49.8</v>
      </c>
      <c r="H97">
        <f t="shared" si="6"/>
        <v>460.9</v>
      </c>
      <c r="I97">
        <v>0.74</v>
      </c>
      <c r="J97" s="2">
        <f t="shared" si="9"/>
        <v>155.70945945945945</v>
      </c>
      <c r="K97" s="4">
        <f t="shared" si="7"/>
        <v>622.83783783783781</v>
      </c>
      <c r="L97" s="2">
        <f t="shared" si="8"/>
        <v>2.5205624459459459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Md. Mahadi</dc:creator>
  <cp:lastModifiedBy>Hasan, Md. Mahadi</cp:lastModifiedBy>
  <dcterms:created xsi:type="dcterms:W3CDTF">2015-06-05T18:17:20Z</dcterms:created>
  <dcterms:modified xsi:type="dcterms:W3CDTF">2025-10-30T20:55:09Z</dcterms:modified>
</cp:coreProperties>
</file>