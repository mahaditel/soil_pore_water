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mhasan1_ilstu_edu/Documents/Desktop/Mahadi R projects/Porewater-Spectrum/soil_pore_water_final/soil_pore_water/Data/"/>
    </mc:Choice>
  </mc:AlternateContent>
  <xr:revisionPtr revIDLastSave="17" documentId="13_ncr:1_{DB381425-4AB3-3749-9F7F-253C999FA2D9}" xr6:coauthVersionLast="47" xr6:coauthVersionMax="47" xr10:uidLastSave="{1F205885-7634-4FED-8D03-D760D588C832}"/>
  <bookViews>
    <workbookView xWindow="-110" yWindow="-110" windowWidth="19420" windowHeight="10300" xr2:uid="{329D28CD-3E18-48DC-9D04-B466FCECC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Piontek, Russell</author>
  </authors>
  <commentList>
    <comment ref="O555" authorId="0" shapeId="0" xr:uid="{C2E4D8D3-3F08-4972-9DD5-66B54A62DA43}">
      <text>
        <r>
          <rPr>
            <b/>
            <sz val="9"/>
            <color indexed="81"/>
            <rFont val="Tahoma"/>
            <family val="2"/>
          </rPr>
          <t>Piontek, Russell:</t>
        </r>
        <r>
          <rPr>
            <sz val="9"/>
            <color indexed="81"/>
            <rFont val="Tahoma"/>
            <family val="2"/>
          </rPr>
          <t xml:space="preserve">
Sample adjusted for dilution. Diluted: 2ml sample with 6ml water. </t>
        </r>
      </text>
    </comment>
    <comment ref="O556" authorId="0" shapeId="0" xr:uid="{EA008D76-C543-4E07-A779-D2F799A62F6C}">
      <text>
        <r>
          <rPr>
            <b/>
            <sz val="9"/>
            <color indexed="81"/>
            <rFont val="Tahoma"/>
            <family val="2"/>
          </rPr>
          <t>Piontek, Russell:</t>
        </r>
        <r>
          <rPr>
            <sz val="9"/>
            <color indexed="81"/>
            <rFont val="Tahoma"/>
            <family val="2"/>
          </rPr>
          <t xml:space="preserve">
Sample adjusted for dilution. Diluted: 2ml sample with 6ml water. </t>
        </r>
      </text>
    </comment>
  </commentList>
</comments>
</file>

<file path=xl/sharedStrings.xml><?xml version="1.0" encoding="utf-8"?>
<sst xmlns="http://schemas.openxmlformats.org/spreadsheetml/2006/main" count="1342" uniqueCount="57">
  <si>
    <t>fia_drn_date</t>
  </si>
  <si>
    <t>study</t>
  </si>
  <si>
    <t>original_coll_date</t>
  </si>
  <si>
    <t>job_no</t>
  </si>
  <si>
    <t>porewater_drp_ugl</t>
  </si>
  <si>
    <t>porewater_nh3_mgl</t>
  </si>
  <si>
    <t>porewater_no3_mgl</t>
  </si>
  <si>
    <t>Lys</t>
  </si>
  <si>
    <t>Block</t>
  </si>
  <si>
    <t>Loc</t>
  </si>
  <si>
    <t>Crop</t>
  </si>
  <si>
    <t>Type</t>
  </si>
  <si>
    <t>NREC-lys</t>
  </si>
  <si>
    <t>L_1</t>
  </si>
  <si>
    <t>W</t>
  </si>
  <si>
    <t>AR</t>
  </si>
  <si>
    <t>L</t>
  </si>
  <si>
    <t>RM</t>
  </si>
  <si>
    <t>L_2</t>
  </si>
  <si>
    <t>E</t>
  </si>
  <si>
    <t>GPC</t>
  </si>
  <si>
    <t>S</t>
  </si>
  <si>
    <t>L_3</t>
  </si>
  <si>
    <t>WPC</t>
  </si>
  <si>
    <t>L_5</t>
  </si>
  <si>
    <t>PCRO</t>
  </si>
  <si>
    <t>L_6</t>
  </si>
  <si>
    <t>F</t>
  </si>
  <si>
    <t>L_7</t>
  </si>
  <si>
    <t>CR</t>
  </si>
  <si>
    <t>L_8</t>
  </si>
  <si>
    <t>L_9</t>
  </si>
  <si>
    <t>L_11</t>
  </si>
  <si>
    <t>L_12</t>
  </si>
  <si>
    <t>L_13</t>
  </si>
  <si>
    <t>L_14</t>
  </si>
  <si>
    <t>L_15</t>
  </si>
  <si>
    <t>L_16</t>
  </si>
  <si>
    <t>L_17</t>
  </si>
  <si>
    <t>L_18</t>
  </si>
  <si>
    <t>L_19</t>
  </si>
  <si>
    <t>L_20</t>
  </si>
  <si>
    <t>L_21</t>
  </si>
  <si>
    <t>L_23</t>
  </si>
  <si>
    <t>L_24</t>
  </si>
  <si>
    <t>L_4</t>
  </si>
  <si>
    <t>L_10</t>
  </si>
  <si>
    <t>L_22</t>
  </si>
  <si>
    <t>N</t>
  </si>
  <si>
    <t>FPC</t>
  </si>
  <si>
    <t>s</t>
  </si>
  <si>
    <t>Farm</t>
  </si>
  <si>
    <t>ISU</t>
  </si>
  <si>
    <t>WIU</t>
  </si>
  <si>
    <t>initials</t>
  </si>
  <si>
    <t>index</t>
  </si>
  <si>
    <t>porewater_drp_mgl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</si>
</sst>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m/dd/yyyy"/>
    <numFmt numFmtId="166" formatCode="0.0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4" fillId="0" borderId="0" xfId="0" applyFont="1"/>
    <xf numFmtId="2" fontId="2" fillId="0" borderId="0" xfId="0" applyNumberFormat="1" applyFont="1"/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7" fillId="0" borderId="0" xfId="0" applyFont="1"/>
    <xf numFmtId="0" fontId="0" fillId="0" borderId="0" xfId="0" applyAlignment="1">
      <alignment horizontal="left"/>
    </xf>
    <xf numFmtId="164" fontId="8" fillId="0" borderId="0" xfId="0" applyNumberFormat="1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C18F-F91E-4BCA-81E2-83CC65EA3F0E}">
  <dimension ref="A1:Q748"/>
  <sheetViews>
    <sheetView tabSelected="1" topLeftCell="J1" workbookViewId="0">
      <pane ySplit="1" topLeftCell="A2" activePane="bottomLeft" state="frozen"/>
      <selection pane="bottomLeft" activeCell="P1" sqref="P1:P1048576"/>
    </sheetView>
  </sheetViews>
  <sheetFormatPr defaultColWidth="8.81640625" defaultRowHeight="14.5" x14ac:dyDescent="0.35"/>
  <cols>
    <col min="2" max="2" width="12.36328125" bestFit="1" customWidth="1"/>
    <col min="3" max="3" width="9.453125" customWidth="1"/>
    <col min="4" max="4" width="7.36328125" bestFit="1" customWidth="1"/>
    <col min="5" max="9" width="7.36328125" customWidth="1"/>
    <col min="10" max="10" width="14.81640625" bestFit="1" customWidth="1"/>
    <col min="11" max="11" width="11.6328125" customWidth="1"/>
    <col min="12" max="12" width="9.1796875" customWidth="1"/>
    <col min="13" max="14" width="16.6328125" bestFit="1" customWidth="1"/>
    <col min="15" max="15" width="19.26953125" customWidth="1"/>
    <col min="16" max="16" width="24.54296875" customWidth="1"/>
  </cols>
  <sheetData>
    <row r="1" spans="1:16" x14ac:dyDescent="0.35">
      <c r="A1" t="s">
        <v>55</v>
      </c>
      <c r="B1" t="s">
        <v>0</v>
      </c>
      <c r="C1" t="s">
        <v>1</v>
      </c>
      <c r="D1" t="s">
        <v>7</v>
      </c>
      <c r="E1" t="s">
        <v>8</v>
      </c>
      <c r="F1" t="s">
        <v>9</v>
      </c>
      <c r="G1" t="s">
        <v>51</v>
      </c>
      <c r="H1" t="s">
        <v>10</v>
      </c>
      <c r="I1" t="s">
        <v>11</v>
      </c>
      <c r="J1" t="s">
        <v>2</v>
      </c>
      <c r="K1" t="s">
        <v>3</v>
      </c>
      <c r="L1" t="s">
        <v>54</v>
      </c>
      <c r="M1" s="1" t="s">
        <v>5</v>
      </c>
      <c r="N1" s="1" t="s">
        <v>6</v>
      </c>
      <c r="O1" s="1" t="s">
        <v>4</v>
      </c>
      <c r="P1" s="1" t="s">
        <v>56</v>
      </c>
    </row>
    <row r="2" spans="1:16" x14ac:dyDescent="0.35">
      <c r="A2">
        <v>16</v>
      </c>
      <c r="B2" s="2">
        <v>45468</v>
      </c>
      <c r="C2" s="3" t="s">
        <v>12</v>
      </c>
      <c r="D2" t="s">
        <v>34</v>
      </c>
      <c r="E2">
        <v>1</v>
      </c>
      <c r="F2" t="s">
        <v>14</v>
      </c>
      <c r="G2" t="s">
        <v>52</v>
      </c>
      <c r="H2" t="s">
        <v>15</v>
      </c>
      <c r="I2" t="s">
        <v>16</v>
      </c>
      <c r="J2" s="4">
        <v>45392</v>
      </c>
      <c r="K2" s="1">
        <v>1649</v>
      </c>
      <c r="L2" s="1" t="s">
        <v>17</v>
      </c>
      <c r="M2" s="1">
        <v>3.1300000000000001E-2</v>
      </c>
      <c r="N2" s="1">
        <v>0.21199999999999999</v>
      </c>
      <c r="O2" s="1">
        <v>17</v>
      </c>
      <c r="P2" s="19">
        <f>O2*0.001</f>
        <v>1.7000000000000001E-2</v>
      </c>
    </row>
    <row r="3" spans="1:16" x14ac:dyDescent="0.35">
      <c r="A3">
        <v>17</v>
      </c>
      <c r="B3" s="2">
        <v>45468</v>
      </c>
      <c r="C3" s="3" t="s">
        <v>12</v>
      </c>
      <c r="D3" t="s">
        <v>34</v>
      </c>
      <c r="E3">
        <v>1</v>
      </c>
      <c r="F3" t="s">
        <v>19</v>
      </c>
      <c r="G3" t="s">
        <v>52</v>
      </c>
      <c r="H3" t="s">
        <v>15</v>
      </c>
      <c r="I3" t="s">
        <v>21</v>
      </c>
      <c r="J3" s="4">
        <v>45392</v>
      </c>
      <c r="K3" s="1">
        <v>1649</v>
      </c>
      <c r="L3" s="1" t="s">
        <v>17</v>
      </c>
      <c r="M3" s="1">
        <v>1.18E-2</v>
      </c>
      <c r="N3" s="1">
        <v>0.14099999999999999</v>
      </c>
      <c r="O3" s="1">
        <v>27.2</v>
      </c>
      <c r="P3" s="19">
        <f t="shared" ref="P3:P66" si="0">O3*0.001</f>
        <v>2.7199999999999998E-2</v>
      </c>
    </row>
    <row r="4" spans="1:16" x14ac:dyDescent="0.35">
      <c r="A4">
        <v>20</v>
      </c>
      <c r="B4" s="2">
        <v>45468</v>
      </c>
      <c r="C4" s="3" t="s">
        <v>12</v>
      </c>
      <c r="D4" t="s">
        <v>37</v>
      </c>
      <c r="E4">
        <v>1</v>
      </c>
      <c r="F4" t="s">
        <v>14</v>
      </c>
      <c r="G4" t="s">
        <v>52</v>
      </c>
      <c r="H4" t="s">
        <v>29</v>
      </c>
      <c r="I4" t="s">
        <v>16</v>
      </c>
      <c r="J4" s="4">
        <v>45392</v>
      </c>
      <c r="K4" s="1">
        <v>1649</v>
      </c>
      <c r="L4" s="1" t="s">
        <v>17</v>
      </c>
      <c r="M4" s="1">
        <v>6.6000000000000003E-2</v>
      </c>
      <c r="N4" s="1">
        <v>6.2399999999999997E-2</v>
      </c>
      <c r="O4" s="1">
        <v>21.72</v>
      </c>
      <c r="P4" s="19">
        <f t="shared" si="0"/>
        <v>2.172E-2</v>
      </c>
    </row>
    <row r="5" spans="1:16" x14ac:dyDescent="0.35">
      <c r="A5">
        <v>22</v>
      </c>
      <c r="B5" s="2">
        <v>45468</v>
      </c>
      <c r="C5" s="3" t="s">
        <v>12</v>
      </c>
      <c r="D5" t="s">
        <v>39</v>
      </c>
      <c r="E5">
        <v>1</v>
      </c>
      <c r="F5" t="s">
        <v>19</v>
      </c>
      <c r="G5" t="s">
        <v>52</v>
      </c>
      <c r="H5" t="s">
        <v>27</v>
      </c>
      <c r="I5" t="s">
        <v>21</v>
      </c>
      <c r="J5" s="4">
        <v>45392</v>
      </c>
      <c r="K5" s="1">
        <v>1649</v>
      </c>
      <c r="L5" s="1" t="s">
        <v>17</v>
      </c>
      <c r="M5" s="1">
        <v>2.1600000000000001E-2</v>
      </c>
      <c r="N5" s="1">
        <v>9.2899999999999996E-2</v>
      </c>
      <c r="O5" s="1">
        <v>20.6</v>
      </c>
      <c r="P5" s="19">
        <f t="shared" si="0"/>
        <v>2.06E-2</v>
      </c>
    </row>
    <row r="6" spans="1:16" x14ac:dyDescent="0.35">
      <c r="A6">
        <v>18</v>
      </c>
      <c r="B6" s="2">
        <v>45468</v>
      </c>
      <c r="C6" s="3" t="s">
        <v>12</v>
      </c>
      <c r="D6" t="s">
        <v>35</v>
      </c>
      <c r="E6">
        <v>1</v>
      </c>
      <c r="F6" t="s">
        <v>19</v>
      </c>
      <c r="G6" t="s">
        <v>52</v>
      </c>
      <c r="H6" t="s">
        <v>20</v>
      </c>
      <c r="I6" t="s">
        <v>21</v>
      </c>
      <c r="J6" s="4">
        <v>45392</v>
      </c>
      <c r="K6" s="1">
        <v>1649</v>
      </c>
      <c r="L6" s="1" t="s">
        <v>17</v>
      </c>
      <c r="M6" s="1">
        <v>1.17E-2</v>
      </c>
      <c r="N6" s="1">
        <v>9.2299999999999993E-2</v>
      </c>
      <c r="O6" s="1">
        <v>17.2</v>
      </c>
      <c r="P6" s="19">
        <f t="shared" si="0"/>
        <v>1.72E-2</v>
      </c>
    </row>
    <row r="7" spans="1:16" x14ac:dyDescent="0.35">
      <c r="A7">
        <v>21</v>
      </c>
      <c r="B7" s="2">
        <v>45468</v>
      </c>
      <c r="C7" s="3" t="s">
        <v>12</v>
      </c>
      <c r="D7" t="s">
        <v>38</v>
      </c>
      <c r="E7">
        <v>1</v>
      </c>
      <c r="F7" t="s">
        <v>14</v>
      </c>
      <c r="G7" t="s">
        <v>52</v>
      </c>
      <c r="H7" t="s">
        <v>25</v>
      </c>
      <c r="I7" t="s">
        <v>16</v>
      </c>
      <c r="J7" s="4">
        <v>45392</v>
      </c>
      <c r="K7" s="1">
        <v>1649</v>
      </c>
      <c r="L7" s="1" t="s">
        <v>17</v>
      </c>
      <c r="M7" s="1">
        <v>8.43E-3</v>
      </c>
      <c r="N7" s="1">
        <v>1.26</v>
      </c>
      <c r="O7" s="1">
        <v>12.6</v>
      </c>
      <c r="P7" s="19">
        <f t="shared" si="0"/>
        <v>1.26E-2</v>
      </c>
    </row>
    <row r="8" spans="1:16" x14ac:dyDescent="0.35">
      <c r="A8">
        <v>19</v>
      </c>
      <c r="B8" s="2">
        <v>45468</v>
      </c>
      <c r="C8" s="3" t="s">
        <v>12</v>
      </c>
      <c r="D8" t="s">
        <v>36</v>
      </c>
      <c r="E8">
        <v>1</v>
      </c>
      <c r="F8" t="s">
        <v>14</v>
      </c>
      <c r="G8" t="s">
        <v>52</v>
      </c>
      <c r="H8" t="s">
        <v>23</v>
      </c>
      <c r="I8" t="s">
        <v>16</v>
      </c>
      <c r="J8" s="4">
        <v>45392</v>
      </c>
      <c r="K8" s="1">
        <v>1649</v>
      </c>
      <c r="L8" s="1" t="s">
        <v>17</v>
      </c>
      <c r="M8" s="1">
        <v>1.2500000000000001E-2</v>
      </c>
      <c r="N8" s="1">
        <v>4.65E-2</v>
      </c>
      <c r="O8" s="1">
        <v>9.9</v>
      </c>
      <c r="P8" s="19">
        <f t="shared" si="0"/>
        <v>9.9000000000000008E-3</v>
      </c>
    </row>
    <row r="9" spans="1:16" x14ac:dyDescent="0.35">
      <c r="A9">
        <v>28</v>
      </c>
      <c r="B9" s="2">
        <v>45468</v>
      </c>
      <c r="C9" s="3" t="s">
        <v>12</v>
      </c>
      <c r="D9" t="s">
        <v>43</v>
      </c>
      <c r="E9">
        <v>2</v>
      </c>
      <c r="F9" t="s">
        <v>19</v>
      </c>
      <c r="G9" t="s">
        <v>52</v>
      </c>
      <c r="H9" t="s">
        <v>15</v>
      </c>
      <c r="I9" t="s">
        <v>21</v>
      </c>
      <c r="J9" s="4">
        <v>45392</v>
      </c>
      <c r="K9" s="1">
        <v>1649</v>
      </c>
      <c r="L9" s="1" t="s">
        <v>17</v>
      </c>
      <c r="M9" s="1">
        <v>9.9599999999999994E-2</v>
      </c>
      <c r="N9" s="1">
        <v>0.13600000000000001</v>
      </c>
      <c r="O9" s="1">
        <v>38.76</v>
      </c>
      <c r="P9" s="19">
        <f t="shared" si="0"/>
        <v>3.8759999999999996E-2</v>
      </c>
    </row>
    <row r="10" spans="1:16" x14ac:dyDescent="0.35">
      <c r="A10">
        <v>29</v>
      </c>
      <c r="B10" s="2">
        <v>45468</v>
      </c>
      <c r="C10" s="3" t="s">
        <v>12</v>
      </c>
      <c r="D10" t="s">
        <v>43</v>
      </c>
      <c r="E10">
        <v>2</v>
      </c>
      <c r="F10" t="s">
        <v>14</v>
      </c>
      <c r="G10" t="s">
        <v>52</v>
      </c>
      <c r="H10" t="s">
        <v>15</v>
      </c>
      <c r="I10" t="s">
        <v>16</v>
      </c>
      <c r="J10" s="4">
        <v>45392</v>
      </c>
      <c r="K10" s="1">
        <v>1649</v>
      </c>
      <c r="L10" s="1" t="s">
        <v>17</v>
      </c>
      <c r="M10" s="1">
        <v>1.7000000000000001E-2</v>
      </c>
      <c r="N10" s="1">
        <v>9.3299999999999994E-2</v>
      </c>
      <c r="O10" s="1">
        <v>20.100000000000001</v>
      </c>
      <c r="P10" s="19">
        <f t="shared" si="0"/>
        <v>2.0100000000000003E-2</v>
      </c>
    </row>
    <row r="11" spans="1:16" x14ac:dyDescent="0.35">
      <c r="A11">
        <v>26</v>
      </c>
      <c r="B11" s="2">
        <v>45468</v>
      </c>
      <c r="C11" s="3" t="s">
        <v>12</v>
      </c>
      <c r="D11" t="s">
        <v>42</v>
      </c>
      <c r="E11">
        <v>2</v>
      </c>
      <c r="F11" t="s">
        <v>19</v>
      </c>
      <c r="G11" t="s">
        <v>52</v>
      </c>
      <c r="H11" t="s">
        <v>29</v>
      </c>
      <c r="I11" t="s">
        <v>21</v>
      </c>
      <c r="J11" s="15">
        <v>45392</v>
      </c>
      <c r="K11" s="1">
        <v>1649</v>
      </c>
      <c r="L11" s="1" t="s">
        <v>17</v>
      </c>
      <c r="M11" s="17">
        <v>2.5399999999999999E-2</v>
      </c>
      <c r="N11" s="17">
        <v>0.374</v>
      </c>
      <c r="O11" s="17">
        <v>134</v>
      </c>
      <c r="P11" s="19">
        <f t="shared" si="0"/>
        <v>0.13400000000000001</v>
      </c>
    </row>
    <row r="12" spans="1:16" x14ac:dyDescent="0.35">
      <c r="A12">
        <v>27</v>
      </c>
      <c r="B12" s="2">
        <v>45468</v>
      </c>
      <c r="C12" s="3" t="s">
        <v>12</v>
      </c>
      <c r="D12" t="s">
        <v>42</v>
      </c>
      <c r="E12">
        <v>2</v>
      </c>
      <c r="F12" t="s">
        <v>14</v>
      </c>
      <c r="G12" t="s">
        <v>52</v>
      </c>
      <c r="H12" t="s">
        <v>29</v>
      </c>
      <c r="I12" t="s">
        <v>16</v>
      </c>
      <c r="J12" s="15">
        <v>45392</v>
      </c>
      <c r="K12" s="1">
        <v>1649</v>
      </c>
      <c r="L12" s="1" t="s">
        <v>17</v>
      </c>
      <c r="M12" s="17">
        <v>4.9200000000000001E-2</v>
      </c>
      <c r="N12" s="17">
        <v>0.11119999999999999</v>
      </c>
      <c r="O12" s="17">
        <v>24.44</v>
      </c>
      <c r="P12" s="19">
        <f t="shared" si="0"/>
        <v>2.4440000000000003E-2</v>
      </c>
    </row>
    <row r="13" spans="1:16" x14ac:dyDescent="0.35">
      <c r="A13">
        <v>25</v>
      </c>
      <c r="B13" s="2">
        <v>45468</v>
      </c>
      <c r="C13" s="3" t="s">
        <v>12</v>
      </c>
      <c r="D13" t="s">
        <v>41</v>
      </c>
      <c r="E13">
        <v>2</v>
      </c>
      <c r="F13" t="s">
        <v>19</v>
      </c>
      <c r="G13" t="s">
        <v>52</v>
      </c>
      <c r="H13" t="s">
        <v>27</v>
      </c>
      <c r="I13" t="s">
        <v>21</v>
      </c>
      <c r="J13" s="15">
        <v>45392</v>
      </c>
      <c r="K13" s="1">
        <v>1649</v>
      </c>
      <c r="L13" s="1" t="s">
        <v>17</v>
      </c>
      <c r="M13" s="17">
        <v>1.72E-2</v>
      </c>
      <c r="N13" s="17">
        <v>20.2</v>
      </c>
      <c r="O13" s="17">
        <v>20.5</v>
      </c>
      <c r="P13" s="19">
        <f t="shared" si="0"/>
        <v>2.0500000000000001E-2</v>
      </c>
    </row>
    <row r="14" spans="1:16" x14ac:dyDescent="0.35">
      <c r="A14">
        <v>30</v>
      </c>
      <c r="B14" s="2">
        <v>45468</v>
      </c>
      <c r="C14" s="3" t="s">
        <v>12</v>
      </c>
      <c r="D14" t="s">
        <v>44</v>
      </c>
      <c r="E14">
        <v>2</v>
      </c>
      <c r="F14" t="s">
        <v>19</v>
      </c>
      <c r="G14" t="s">
        <v>52</v>
      </c>
      <c r="H14" t="s">
        <v>20</v>
      </c>
      <c r="I14" t="s">
        <v>21</v>
      </c>
      <c r="J14" s="4">
        <v>45392</v>
      </c>
      <c r="K14" s="1">
        <v>1649</v>
      </c>
      <c r="L14" s="1" t="s">
        <v>17</v>
      </c>
      <c r="M14" s="1">
        <v>1.55E-2</v>
      </c>
      <c r="N14" s="1">
        <v>0.14099999999999999</v>
      </c>
      <c r="O14" s="1">
        <v>35.6</v>
      </c>
      <c r="P14" s="19">
        <f t="shared" si="0"/>
        <v>3.56E-2</v>
      </c>
    </row>
    <row r="15" spans="1:16" x14ac:dyDescent="0.35">
      <c r="A15">
        <v>23</v>
      </c>
      <c r="B15" s="2">
        <v>45468</v>
      </c>
      <c r="C15" s="3" t="s">
        <v>12</v>
      </c>
      <c r="D15" t="s">
        <v>40</v>
      </c>
      <c r="E15">
        <v>2</v>
      </c>
      <c r="F15" t="s">
        <v>19</v>
      </c>
      <c r="G15" t="s">
        <v>52</v>
      </c>
      <c r="H15" t="s">
        <v>23</v>
      </c>
      <c r="I15" t="s">
        <v>21</v>
      </c>
      <c r="J15" s="4">
        <v>45392</v>
      </c>
      <c r="K15" s="1">
        <v>1649</v>
      </c>
      <c r="L15" s="1" t="s">
        <v>17</v>
      </c>
      <c r="M15" s="1">
        <v>1.06E-2</v>
      </c>
      <c r="N15" s="1">
        <v>0.25800000000000001</v>
      </c>
      <c r="O15" s="1">
        <v>22.7</v>
      </c>
      <c r="P15" s="19">
        <f t="shared" si="0"/>
        <v>2.2700000000000001E-2</v>
      </c>
    </row>
    <row r="16" spans="1:16" x14ac:dyDescent="0.35">
      <c r="A16">
        <v>24</v>
      </c>
      <c r="B16" s="2">
        <v>45468</v>
      </c>
      <c r="C16" s="3" t="s">
        <v>12</v>
      </c>
      <c r="D16" t="s">
        <v>40</v>
      </c>
      <c r="E16">
        <v>2</v>
      </c>
      <c r="F16" t="s">
        <v>14</v>
      </c>
      <c r="G16" t="s">
        <v>52</v>
      </c>
      <c r="H16" t="s">
        <v>23</v>
      </c>
      <c r="I16" t="s">
        <v>16</v>
      </c>
      <c r="J16" s="4">
        <v>45392</v>
      </c>
      <c r="K16" s="1">
        <v>1649</v>
      </c>
      <c r="L16" s="1" t="s">
        <v>17</v>
      </c>
      <c r="M16" s="1">
        <v>1.0200000000000001E-2</v>
      </c>
      <c r="N16" s="1">
        <v>7.26</v>
      </c>
      <c r="O16" s="1">
        <v>16.7</v>
      </c>
      <c r="P16" s="19">
        <f t="shared" si="0"/>
        <v>1.67E-2</v>
      </c>
    </row>
    <row r="17" spans="1:16" x14ac:dyDescent="0.35">
      <c r="A17">
        <v>14</v>
      </c>
      <c r="B17" s="2">
        <v>45468</v>
      </c>
      <c r="C17" s="3" t="s">
        <v>12</v>
      </c>
      <c r="D17" t="s">
        <v>32</v>
      </c>
      <c r="E17">
        <v>3</v>
      </c>
      <c r="F17" t="s">
        <v>19</v>
      </c>
      <c r="G17" t="s">
        <v>52</v>
      </c>
      <c r="H17" t="s">
        <v>15</v>
      </c>
      <c r="I17" t="s">
        <v>21</v>
      </c>
      <c r="J17" s="4">
        <v>45392</v>
      </c>
      <c r="K17" s="1">
        <v>1649</v>
      </c>
      <c r="L17" s="1" t="s">
        <v>17</v>
      </c>
      <c r="M17" s="1">
        <v>1.37E-2</v>
      </c>
      <c r="N17" s="1">
        <v>7.1900000000000006E-2</v>
      </c>
      <c r="O17" s="1">
        <v>20.5</v>
      </c>
      <c r="P17" s="19">
        <f t="shared" si="0"/>
        <v>2.0500000000000001E-2</v>
      </c>
    </row>
    <row r="18" spans="1:16" x14ac:dyDescent="0.35">
      <c r="A18">
        <v>9</v>
      </c>
      <c r="B18" s="2">
        <v>45468</v>
      </c>
      <c r="C18" s="3" t="s">
        <v>12</v>
      </c>
      <c r="D18" t="s">
        <v>28</v>
      </c>
      <c r="E18">
        <v>3</v>
      </c>
      <c r="F18" t="s">
        <v>14</v>
      </c>
      <c r="G18" t="s">
        <v>52</v>
      </c>
      <c r="H18" t="s">
        <v>29</v>
      </c>
      <c r="I18" t="s">
        <v>16</v>
      </c>
      <c r="J18" s="4">
        <v>45392</v>
      </c>
      <c r="K18" s="1">
        <v>1649</v>
      </c>
      <c r="L18" s="1" t="s">
        <v>17</v>
      </c>
      <c r="M18" s="1">
        <v>1.7600000000000001E-2</v>
      </c>
      <c r="N18" s="1">
        <v>5.0299999999999997E-2</v>
      </c>
      <c r="O18" s="1">
        <v>19.7</v>
      </c>
      <c r="P18" s="19">
        <f t="shared" si="0"/>
        <v>1.9699999999999999E-2</v>
      </c>
    </row>
    <row r="19" spans="1:16" x14ac:dyDescent="0.35">
      <c r="A19">
        <v>10</v>
      </c>
      <c r="B19" s="2">
        <v>45468</v>
      </c>
      <c r="C19" s="3" t="s">
        <v>12</v>
      </c>
      <c r="D19" t="s">
        <v>30</v>
      </c>
      <c r="E19">
        <v>3</v>
      </c>
      <c r="F19" t="s">
        <v>19</v>
      </c>
      <c r="G19" t="s">
        <v>52</v>
      </c>
      <c r="H19" t="s">
        <v>27</v>
      </c>
      <c r="I19" t="s">
        <v>21</v>
      </c>
      <c r="J19" s="4">
        <v>45392</v>
      </c>
      <c r="K19" s="1">
        <v>1649</v>
      </c>
      <c r="L19" s="1" t="s">
        <v>17</v>
      </c>
      <c r="M19" s="1">
        <v>4.1500000000000004</v>
      </c>
      <c r="N19" s="1">
        <v>0.86299999999999999</v>
      </c>
      <c r="O19" s="1">
        <v>98.8</v>
      </c>
      <c r="P19" s="19">
        <f t="shared" si="0"/>
        <v>9.8799999999999999E-2</v>
      </c>
    </row>
    <row r="20" spans="1:16" x14ac:dyDescent="0.35">
      <c r="A20">
        <v>11</v>
      </c>
      <c r="B20" s="2">
        <v>45468</v>
      </c>
      <c r="C20" s="3" t="s">
        <v>12</v>
      </c>
      <c r="D20" t="s">
        <v>30</v>
      </c>
      <c r="E20">
        <v>3</v>
      </c>
      <c r="F20" t="s">
        <v>14</v>
      </c>
      <c r="G20" t="s">
        <v>52</v>
      </c>
      <c r="H20" t="s">
        <v>27</v>
      </c>
      <c r="I20" t="s">
        <v>16</v>
      </c>
      <c r="J20" s="4">
        <v>45392</v>
      </c>
      <c r="K20" s="1">
        <v>1649</v>
      </c>
      <c r="L20" s="1" t="s">
        <v>17</v>
      </c>
      <c r="M20" s="1">
        <v>1.216</v>
      </c>
      <c r="N20" s="1">
        <v>17.04</v>
      </c>
      <c r="O20" s="1">
        <v>60.8</v>
      </c>
      <c r="P20" s="19">
        <f t="shared" si="0"/>
        <v>6.08E-2</v>
      </c>
    </row>
    <row r="21" spans="1:16" ht="15.75" customHeight="1" x14ac:dyDescent="0.35">
      <c r="A21">
        <v>15</v>
      </c>
      <c r="B21" s="2">
        <v>45468</v>
      </c>
      <c r="C21" s="3" t="s">
        <v>12</v>
      </c>
      <c r="D21" t="s">
        <v>33</v>
      </c>
      <c r="E21">
        <v>3</v>
      </c>
      <c r="F21" t="s">
        <v>19</v>
      </c>
      <c r="G21" t="s">
        <v>52</v>
      </c>
      <c r="H21" t="s">
        <v>20</v>
      </c>
      <c r="I21" t="s">
        <v>21</v>
      </c>
      <c r="J21" s="4">
        <v>45392</v>
      </c>
      <c r="K21" s="1">
        <v>1649</v>
      </c>
      <c r="L21" s="1" t="s">
        <v>17</v>
      </c>
      <c r="M21" s="1">
        <v>7.6799999999999993E-2</v>
      </c>
      <c r="N21" s="1">
        <v>0.15079999999999999</v>
      </c>
      <c r="O21" s="1">
        <v>97.2</v>
      </c>
      <c r="P21" s="19">
        <f t="shared" si="0"/>
        <v>9.7200000000000009E-2</v>
      </c>
    </row>
    <row r="22" spans="1:16" ht="15.75" customHeight="1" x14ac:dyDescent="0.35">
      <c r="A22">
        <v>12</v>
      </c>
      <c r="B22" s="2">
        <v>45468</v>
      </c>
      <c r="C22" s="3" t="s">
        <v>12</v>
      </c>
      <c r="D22" t="s">
        <v>31</v>
      </c>
      <c r="E22">
        <v>3</v>
      </c>
      <c r="F22" t="s">
        <v>19</v>
      </c>
      <c r="G22" t="s">
        <v>52</v>
      </c>
      <c r="H22" t="s">
        <v>23</v>
      </c>
      <c r="I22" t="s">
        <v>21</v>
      </c>
      <c r="J22" s="4">
        <v>45392</v>
      </c>
      <c r="K22" s="1">
        <v>1649</v>
      </c>
      <c r="L22" s="1" t="s">
        <v>17</v>
      </c>
      <c r="M22" s="1">
        <v>4.5400000000000003E-2</v>
      </c>
      <c r="N22" s="1">
        <v>5.8000000000000003E-2</v>
      </c>
      <c r="O22" s="1">
        <v>32</v>
      </c>
      <c r="P22" s="19">
        <f t="shared" si="0"/>
        <v>3.2000000000000001E-2</v>
      </c>
    </row>
    <row r="23" spans="1:16" ht="15.75" customHeight="1" x14ac:dyDescent="0.35">
      <c r="A23">
        <v>13</v>
      </c>
      <c r="B23" s="2">
        <v>45468</v>
      </c>
      <c r="C23" s="3" t="s">
        <v>12</v>
      </c>
      <c r="D23" t="s">
        <v>31</v>
      </c>
      <c r="E23">
        <v>3</v>
      </c>
      <c r="F23" t="s">
        <v>14</v>
      </c>
      <c r="G23" t="s">
        <v>52</v>
      </c>
      <c r="H23" t="s">
        <v>23</v>
      </c>
      <c r="I23" t="s">
        <v>16</v>
      </c>
      <c r="J23" s="4">
        <v>45392</v>
      </c>
      <c r="K23" s="1">
        <v>1649</v>
      </c>
      <c r="L23" s="1" t="s">
        <v>17</v>
      </c>
      <c r="M23" s="1">
        <v>9.3200000000000002E-3</v>
      </c>
      <c r="N23" s="1">
        <v>0.97099999999999997</v>
      </c>
      <c r="O23" s="1">
        <v>14.8</v>
      </c>
      <c r="P23" s="19">
        <f t="shared" si="0"/>
        <v>1.4800000000000001E-2</v>
      </c>
    </row>
    <row r="24" spans="1:16" ht="15.75" customHeight="1" x14ac:dyDescent="0.35">
      <c r="A24">
        <v>1</v>
      </c>
      <c r="B24" s="2">
        <v>45468</v>
      </c>
      <c r="C24" s="3" t="s">
        <v>12</v>
      </c>
      <c r="D24" t="s">
        <v>13</v>
      </c>
      <c r="E24">
        <v>4</v>
      </c>
      <c r="F24" t="s">
        <v>14</v>
      </c>
      <c r="G24" t="s">
        <v>52</v>
      </c>
      <c r="H24" t="s">
        <v>15</v>
      </c>
      <c r="I24" t="s">
        <v>16</v>
      </c>
      <c r="J24" s="4">
        <v>45392</v>
      </c>
      <c r="K24" s="1">
        <v>1649</v>
      </c>
      <c r="L24" s="1" t="s">
        <v>17</v>
      </c>
      <c r="M24" s="1">
        <v>9.8399999999999998E-3</v>
      </c>
      <c r="N24" s="1">
        <v>3.7600000000000001E-2</v>
      </c>
      <c r="O24" s="1">
        <v>21.6</v>
      </c>
      <c r="P24" s="19">
        <f t="shared" si="0"/>
        <v>2.1600000000000001E-2</v>
      </c>
    </row>
    <row r="25" spans="1:16" ht="15.75" customHeight="1" x14ac:dyDescent="0.35">
      <c r="A25">
        <v>7</v>
      </c>
      <c r="B25" s="2">
        <v>45468</v>
      </c>
      <c r="C25" s="3" t="s">
        <v>12</v>
      </c>
      <c r="D25" t="s">
        <v>26</v>
      </c>
      <c r="E25">
        <v>4</v>
      </c>
      <c r="F25" t="s">
        <v>19</v>
      </c>
      <c r="G25" t="s">
        <v>52</v>
      </c>
      <c r="H25" t="s">
        <v>27</v>
      </c>
      <c r="I25" t="s">
        <v>21</v>
      </c>
      <c r="J25" s="4">
        <v>45392</v>
      </c>
      <c r="K25" s="1">
        <v>1649</v>
      </c>
      <c r="L25" s="1" t="s">
        <v>17</v>
      </c>
      <c r="M25" s="1">
        <v>1.716</v>
      </c>
      <c r="N25" s="1">
        <v>50.4</v>
      </c>
      <c r="O25" s="1">
        <v>22.64</v>
      </c>
      <c r="P25" s="19">
        <f t="shared" si="0"/>
        <v>2.264E-2</v>
      </c>
    </row>
    <row r="26" spans="1:16" ht="15.75" customHeight="1" x14ac:dyDescent="0.35">
      <c r="A26">
        <v>8</v>
      </c>
      <c r="B26" s="2">
        <v>45468</v>
      </c>
      <c r="C26" s="3" t="s">
        <v>12</v>
      </c>
      <c r="D26" t="s">
        <v>26</v>
      </c>
      <c r="E26">
        <v>4</v>
      </c>
      <c r="F26" t="s">
        <v>14</v>
      </c>
      <c r="G26" t="s">
        <v>52</v>
      </c>
      <c r="H26" t="s">
        <v>27</v>
      </c>
      <c r="I26" t="s">
        <v>16</v>
      </c>
      <c r="J26" s="4">
        <v>45392</v>
      </c>
      <c r="K26" s="1">
        <v>1649</v>
      </c>
      <c r="L26" s="1" t="s">
        <v>17</v>
      </c>
      <c r="M26" s="1">
        <v>0.112</v>
      </c>
      <c r="N26" s="1">
        <v>34.799999999999997</v>
      </c>
      <c r="O26" s="1">
        <v>124</v>
      </c>
      <c r="P26" s="19">
        <f t="shared" si="0"/>
        <v>0.124</v>
      </c>
    </row>
    <row r="27" spans="1:16" ht="15.75" customHeight="1" x14ac:dyDescent="0.35">
      <c r="A27">
        <v>2</v>
      </c>
      <c r="B27" s="2">
        <v>45468</v>
      </c>
      <c r="C27" s="3" t="s">
        <v>12</v>
      </c>
      <c r="D27" t="s">
        <v>18</v>
      </c>
      <c r="E27">
        <v>4</v>
      </c>
      <c r="F27" t="s">
        <v>19</v>
      </c>
      <c r="G27" t="s">
        <v>52</v>
      </c>
      <c r="H27" t="s">
        <v>20</v>
      </c>
      <c r="I27" t="s">
        <v>21</v>
      </c>
      <c r="J27" s="4">
        <v>45392</v>
      </c>
      <c r="K27" s="1">
        <v>1649</v>
      </c>
      <c r="L27" s="1" t="s">
        <v>17</v>
      </c>
      <c r="M27" s="1">
        <v>7.2100000000000003E-3</v>
      </c>
      <c r="N27" s="1">
        <v>6.4000000000000001E-2</v>
      </c>
      <c r="O27" s="1">
        <v>9.94</v>
      </c>
      <c r="P27" s="19">
        <f t="shared" si="0"/>
        <v>9.9399999999999992E-3</v>
      </c>
    </row>
    <row r="28" spans="1:16" ht="15.75" customHeight="1" x14ac:dyDescent="0.35">
      <c r="A28">
        <v>3</v>
      </c>
      <c r="B28" s="2">
        <v>45468</v>
      </c>
      <c r="C28" s="3" t="s">
        <v>12</v>
      </c>
      <c r="D28" t="s">
        <v>18</v>
      </c>
      <c r="E28">
        <v>4</v>
      </c>
      <c r="F28" t="s">
        <v>14</v>
      </c>
      <c r="G28" t="s">
        <v>52</v>
      </c>
      <c r="H28" t="s">
        <v>20</v>
      </c>
      <c r="I28" t="s">
        <v>16</v>
      </c>
      <c r="J28" s="4">
        <v>45392</v>
      </c>
      <c r="K28" s="1">
        <v>1649</v>
      </c>
      <c r="L28" s="1" t="s">
        <v>17</v>
      </c>
      <c r="M28" s="1">
        <v>1.9140000000000001E-2</v>
      </c>
      <c r="N28" s="1">
        <v>0.10920000000000001</v>
      </c>
      <c r="O28" s="1">
        <v>25.8</v>
      </c>
      <c r="P28" s="19">
        <f t="shared" si="0"/>
        <v>2.58E-2</v>
      </c>
    </row>
    <row r="29" spans="1:16" ht="15.75" customHeight="1" x14ac:dyDescent="0.35">
      <c r="A29">
        <v>5</v>
      </c>
      <c r="B29" s="2">
        <v>45468</v>
      </c>
      <c r="C29" s="3" t="s">
        <v>12</v>
      </c>
      <c r="D29" t="s">
        <v>24</v>
      </c>
      <c r="E29">
        <v>4</v>
      </c>
      <c r="F29" t="s">
        <v>19</v>
      </c>
      <c r="G29" t="s">
        <v>52</v>
      </c>
      <c r="H29" t="s">
        <v>25</v>
      </c>
      <c r="I29" t="s">
        <v>21</v>
      </c>
      <c r="J29" s="4">
        <v>45392</v>
      </c>
      <c r="K29" s="1">
        <v>1649</v>
      </c>
      <c r="L29" s="1" t="s">
        <v>17</v>
      </c>
      <c r="M29" s="1">
        <v>6.5199999999999994E-2</v>
      </c>
      <c r="N29" s="1">
        <v>34.68</v>
      </c>
      <c r="O29" s="1">
        <v>264.39999999999998</v>
      </c>
      <c r="P29" s="19">
        <f t="shared" si="0"/>
        <v>0.26439999999999997</v>
      </c>
    </row>
    <row r="30" spans="1:16" ht="15.75" customHeight="1" x14ac:dyDescent="0.35">
      <c r="A30">
        <v>6</v>
      </c>
      <c r="B30" s="2">
        <v>45468</v>
      </c>
      <c r="C30" s="3" t="s">
        <v>12</v>
      </c>
      <c r="D30" t="s">
        <v>24</v>
      </c>
      <c r="E30">
        <v>4</v>
      </c>
      <c r="F30" t="s">
        <v>14</v>
      </c>
      <c r="G30" t="s">
        <v>52</v>
      </c>
      <c r="H30" t="s">
        <v>25</v>
      </c>
      <c r="I30" t="s">
        <v>16</v>
      </c>
      <c r="J30" s="4">
        <v>45392</v>
      </c>
      <c r="K30" s="1">
        <v>1649</v>
      </c>
      <c r="L30" s="1" t="s">
        <v>17</v>
      </c>
      <c r="M30" s="1">
        <v>3.124E-2</v>
      </c>
      <c r="N30" s="1">
        <v>17.32</v>
      </c>
      <c r="O30" s="1">
        <v>33.64</v>
      </c>
      <c r="P30" s="19">
        <f t="shared" si="0"/>
        <v>3.3640000000000003E-2</v>
      </c>
    </row>
    <row r="31" spans="1:16" ht="15.75" customHeight="1" x14ac:dyDescent="0.35">
      <c r="A31">
        <v>4</v>
      </c>
      <c r="B31" s="2">
        <v>45468</v>
      </c>
      <c r="C31" s="3" t="s">
        <v>12</v>
      </c>
      <c r="D31" t="s">
        <v>22</v>
      </c>
      <c r="E31">
        <v>4</v>
      </c>
      <c r="F31" t="s">
        <v>19</v>
      </c>
      <c r="G31" t="s">
        <v>52</v>
      </c>
      <c r="H31" t="s">
        <v>23</v>
      </c>
      <c r="I31" t="s">
        <v>21</v>
      </c>
      <c r="J31" s="4">
        <v>45392</v>
      </c>
      <c r="K31" s="1">
        <v>1649</v>
      </c>
      <c r="L31" s="1" t="s">
        <v>17</v>
      </c>
      <c r="M31" s="1">
        <v>1.8800000000000001E-2</v>
      </c>
      <c r="N31" s="1">
        <v>6.4799999999999996E-2</v>
      </c>
      <c r="O31" s="1">
        <v>29.3</v>
      </c>
      <c r="P31" s="19">
        <f t="shared" si="0"/>
        <v>2.93E-2</v>
      </c>
    </row>
    <row r="32" spans="1:16" ht="15.75" customHeight="1" x14ac:dyDescent="0.35">
      <c r="A32">
        <v>41</v>
      </c>
      <c r="B32" s="2">
        <v>45468</v>
      </c>
      <c r="C32" s="16" t="s">
        <v>12</v>
      </c>
      <c r="D32" s="13" t="s">
        <v>34</v>
      </c>
      <c r="E32" s="13">
        <v>1</v>
      </c>
      <c r="G32" t="s">
        <v>52</v>
      </c>
      <c r="H32" s="13" t="s">
        <v>15</v>
      </c>
      <c r="I32" s="13" t="s">
        <v>16</v>
      </c>
      <c r="J32" s="4">
        <v>45402</v>
      </c>
      <c r="K32" s="17">
        <v>1650</v>
      </c>
      <c r="L32" s="17" t="s">
        <v>17</v>
      </c>
      <c r="M32" s="1">
        <v>6.45E-3</v>
      </c>
      <c r="N32" s="1">
        <v>4.5900000000000003E-2</v>
      </c>
      <c r="O32" s="1">
        <v>8.77</v>
      </c>
      <c r="P32" s="19">
        <f t="shared" si="0"/>
        <v>8.77E-3</v>
      </c>
    </row>
    <row r="33" spans="1:16" ht="15.75" customHeight="1" x14ac:dyDescent="0.35">
      <c r="A33">
        <v>44</v>
      </c>
      <c r="B33" s="2">
        <v>45468</v>
      </c>
      <c r="C33" s="16" t="s">
        <v>12</v>
      </c>
      <c r="D33" s="13" t="s">
        <v>39</v>
      </c>
      <c r="E33" s="13">
        <v>1</v>
      </c>
      <c r="G33" t="s">
        <v>52</v>
      </c>
      <c r="H33" s="13" t="s">
        <v>27</v>
      </c>
      <c r="I33" s="13" t="s">
        <v>21</v>
      </c>
      <c r="J33" s="4">
        <v>45402</v>
      </c>
      <c r="K33" s="17">
        <v>1650</v>
      </c>
      <c r="L33" s="17" t="s">
        <v>17</v>
      </c>
      <c r="M33" s="1">
        <v>1.52E-2</v>
      </c>
      <c r="N33" s="1">
        <v>0.13600000000000001</v>
      </c>
      <c r="O33" s="1">
        <v>16.2</v>
      </c>
      <c r="P33" s="19">
        <f t="shared" si="0"/>
        <v>1.6199999999999999E-2</v>
      </c>
    </row>
    <row r="34" spans="1:16" ht="15.75" customHeight="1" x14ac:dyDescent="0.35">
      <c r="A34">
        <v>43</v>
      </c>
      <c r="B34" s="2">
        <v>45468</v>
      </c>
      <c r="C34" s="16" t="s">
        <v>12</v>
      </c>
      <c r="D34" s="13" t="s">
        <v>38</v>
      </c>
      <c r="E34" s="13">
        <v>1</v>
      </c>
      <c r="G34" t="s">
        <v>52</v>
      </c>
      <c r="H34" s="13" t="s">
        <v>25</v>
      </c>
      <c r="I34" s="13" t="s">
        <v>16</v>
      </c>
      <c r="J34" s="4">
        <v>45402</v>
      </c>
      <c r="K34" s="17">
        <v>1650</v>
      </c>
      <c r="L34" s="17" t="s">
        <v>17</v>
      </c>
      <c r="M34" s="1">
        <v>8.0300000000000007E-3</v>
      </c>
      <c r="N34" s="1">
        <v>0.47499999999999998</v>
      </c>
      <c r="O34" s="1">
        <v>27.1</v>
      </c>
      <c r="P34" s="19">
        <f t="shared" si="0"/>
        <v>2.7100000000000003E-2</v>
      </c>
    </row>
    <row r="35" spans="1:16" ht="15.75" customHeight="1" x14ac:dyDescent="0.35">
      <c r="A35">
        <v>42</v>
      </c>
      <c r="B35" s="2">
        <v>45468</v>
      </c>
      <c r="C35" s="16" t="s">
        <v>12</v>
      </c>
      <c r="D35" s="13" t="s">
        <v>36</v>
      </c>
      <c r="E35" s="13">
        <v>1</v>
      </c>
      <c r="G35" t="s">
        <v>52</v>
      </c>
      <c r="H35" s="13" t="s">
        <v>23</v>
      </c>
      <c r="I35" s="13" t="s">
        <v>16</v>
      </c>
      <c r="J35" s="4">
        <v>45402</v>
      </c>
      <c r="K35" s="17">
        <v>1650</v>
      </c>
      <c r="L35" s="17" t="s">
        <v>17</v>
      </c>
      <c r="M35" s="1">
        <v>3.0499999999999999E-2</v>
      </c>
      <c r="N35" s="1">
        <v>9.1300000000000006E-2</v>
      </c>
      <c r="O35" s="1">
        <v>9.6999999999999993</v>
      </c>
      <c r="P35" s="19">
        <f t="shared" si="0"/>
        <v>9.7000000000000003E-3</v>
      </c>
    </row>
    <row r="36" spans="1:16" ht="15.75" customHeight="1" x14ac:dyDescent="0.35">
      <c r="A36">
        <v>49</v>
      </c>
      <c r="B36" s="2">
        <v>45468</v>
      </c>
      <c r="C36" s="16" t="s">
        <v>12</v>
      </c>
      <c r="D36" s="13" t="s">
        <v>43</v>
      </c>
      <c r="E36" s="13">
        <v>2</v>
      </c>
      <c r="G36" t="s">
        <v>52</v>
      </c>
      <c r="H36" s="13" t="s">
        <v>15</v>
      </c>
      <c r="I36" s="13" t="s">
        <v>16</v>
      </c>
      <c r="J36" s="4">
        <v>45402</v>
      </c>
      <c r="K36" s="17">
        <v>1650</v>
      </c>
      <c r="L36" s="17" t="s">
        <v>17</v>
      </c>
      <c r="M36" s="1">
        <v>8.1399999999999997E-3</v>
      </c>
      <c r="N36" s="1">
        <v>7.3200000000000001E-2</v>
      </c>
      <c r="O36" s="1">
        <v>13</v>
      </c>
      <c r="P36" s="19">
        <f t="shared" si="0"/>
        <v>1.3000000000000001E-2</v>
      </c>
    </row>
    <row r="37" spans="1:16" ht="15.75" customHeight="1" x14ac:dyDescent="0.35">
      <c r="A37">
        <v>48</v>
      </c>
      <c r="B37" s="2">
        <v>45468</v>
      </c>
      <c r="C37" s="16" t="s">
        <v>12</v>
      </c>
      <c r="D37" s="13" t="s">
        <v>42</v>
      </c>
      <c r="E37" s="13">
        <v>2</v>
      </c>
      <c r="G37" t="s">
        <v>52</v>
      </c>
      <c r="H37" s="13" t="s">
        <v>29</v>
      </c>
      <c r="I37" s="13" t="s">
        <v>21</v>
      </c>
      <c r="J37" s="4">
        <v>45402</v>
      </c>
      <c r="K37" s="17">
        <v>1650</v>
      </c>
      <c r="L37" s="17" t="s">
        <v>17</v>
      </c>
      <c r="M37" s="1">
        <v>0.1012</v>
      </c>
      <c r="N37" s="1">
        <v>0.22</v>
      </c>
      <c r="O37" s="1">
        <v>63.2</v>
      </c>
      <c r="P37" s="19">
        <f t="shared" si="0"/>
        <v>6.3200000000000006E-2</v>
      </c>
    </row>
    <row r="38" spans="1:16" ht="15.75" customHeight="1" x14ac:dyDescent="0.35">
      <c r="A38">
        <v>46</v>
      </c>
      <c r="B38" s="2">
        <v>45468</v>
      </c>
      <c r="C38" s="16" t="s">
        <v>12</v>
      </c>
      <c r="D38" s="13" t="s">
        <v>41</v>
      </c>
      <c r="E38" s="13">
        <v>2</v>
      </c>
      <c r="G38" t="s">
        <v>52</v>
      </c>
      <c r="H38" s="13" t="s">
        <v>27</v>
      </c>
      <c r="I38" s="13" t="s">
        <v>16</v>
      </c>
      <c r="J38" s="4">
        <v>45402</v>
      </c>
      <c r="K38" s="17">
        <v>1650</v>
      </c>
      <c r="L38" s="17" t="s">
        <v>17</v>
      </c>
      <c r="M38" s="1">
        <v>2.8400000000000002E-2</v>
      </c>
      <c r="N38" s="1">
        <v>0.876</v>
      </c>
      <c r="O38" s="1">
        <v>28.48</v>
      </c>
      <c r="P38" s="19">
        <f t="shared" si="0"/>
        <v>2.8480000000000002E-2</v>
      </c>
    </row>
    <row r="39" spans="1:16" ht="15.75" customHeight="1" x14ac:dyDescent="0.35">
      <c r="A39">
        <v>47</v>
      </c>
      <c r="B39" s="2">
        <v>45468</v>
      </c>
      <c r="C39" s="16" t="s">
        <v>12</v>
      </c>
      <c r="D39" s="13" t="s">
        <v>41</v>
      </c>
      <c r="E39" s="13">
        <v>2</v>
      </c>
      <c r="G39" t="s">
        <v>52</v>
      </c>
      <c r="H39" s="13" t="s">
        <v>27</v>
      </c>
      <c r="I39" s="13" t="s">
        <v>21</v>
      </c>
      <c r="J39" s="4">
        <v>45402</v>
      </c>
      <c r="K39" s="17">
        <v>1650</v>
      </c>
      <c r="L39" s="17" t="s">
        <v>17</v>
      </c>
      <c r="M39" s="1">
        <v>3.2680000000000001E-2</v>
      </c>
      <c r="N39" s="1">
        <v>12.72</v>
      </c>
      <c r="O39" s="1">
        <v>29.24</v>
      </c>
      <c r="P39" s="19">
        <f t="shared" si="0"/>
        <v>2.9239999999999999E-2</v>
      </c>
    </row>
    <row r="40" spans="1:16" ht="15.75" customHeight="1" x14ac:dyDescent="0.35">
      <c r="A40">
        <v>50</v>
      </c>
      <c r="B40" s="2">
        <v>45468</v>
      </c>
      <c r="C40" s="16" t="s">
        <v>12</v>
      </c>
      <c r="D40" s="13" t="s">
        <v>44</v>
      </c>
      <c r="E40" s="13">
        <v>2</v>
      </c>
      <c r="G40" t="s">
        <v>52</v>
      </c>
      <c r="H40" s="13" t="s">
        <v>20</v>
      </c>
      <c r="I40" s="13" t="s">
        <v>21</v>
      </c>
      <c r="J40" s="4">
        <v>45402</v>
      </c>
      <c r="K40" s="17">
        <v>1650</v>
      </c>
      <c r="L40" s="17" t="s">
        <v>17</v>
      </c>
      <c r="M40" s="1">
        <v>0.05</v>
      </c>
      <c r="N40" s="1">
        <v>0.21679999999999999</v>
      </c>
      <c r="O40" s="1">
        <v>34.840000000000003</v>
      </c>
      <c r="P40" s="19">
        <f t="shared" si="0"/>
        <v>3.4840000000000003E-2</v>
      </c>
    </row>
    <row r="41" spans="1:16" ht="15.75" customHeight="1" x14ac:dyDescent="0.35">
      <c r="A41">
        <v>45</v>
      </c>
      <c r="B41" s="2">
        <v>45468</v>
      </c>
      <c r="C41" s="16" t="s">
        <v>12</v>
      </c>
      <c r="D41" s="13" t="s">
        <v>40</v>
      </c>
      <c r="E41" s="13">
        <v>2</v>
      </c>
      <c r="G41" t="s">
        <v>52</v>
      </c>
      <c r="H41" s="13" t="s">
        <v>23</v>
      </c>
      <c r="I41" s="13" t="s">
        <v>16</v>
      </c>
      <c r="J41" s="4">
        <v>45402</v>
      </c>
      <c r="K41" s="17">
        <v>1650</v>
      </c>
      <c r="L41" s="17" t="s">
        <v>17</v>
      </c>
      <c r="M41" s="1">
        <v>9.6100000000000005E-3</v>
      </c>
      <c r="N41" s="1">
        <v>1.82</v>
      </c>
      <c r="O41" s="1">
        <v>9.4</v>
      </c>
      <c r="P41" s="19">
        <f t="shared" si="0"/>
        <v>9.4000000000000004E-3</v>
      </c>
    </row>
    <row r="42" spans="1:16" ht="15.75" customHeight="1" x14ac:dyDescent="0.35">
      <c r="A42">
        <v>37</v>
      </c>
      <c r="B42" s="2">
        <v>45468</v>
      </c>
      <c r="C42" s="16" t="s">
        <v>12</v>
      </c>
      <c r="D42" s="13" t="s">
        <v>28</v>
      </c>
      <c r="E42" s="13">
        <v>3</v>
      </c>
      <c r="G42" t="s">
        <v>52</v>
      </c>
      <c r="H42" s="13" t="s">
        <v>29</v>
      </c>
      <c r="I42" s="13" t="s">
        <v>16</v>
      </c>
      <c r="J42" s="4">
        <v>45402</v>
      </c>
      <c r="K42" s="17">
        <v>1650</v>
      </c>
      <c r="L42" s="17" t="s">
        <v>17</v>
      </c>
      <c r="M42" s="1">
        <v>1.2800000000000001E-2</v>
      </c>
      <c r="N42" s="1">
        <v>8.2199999999999995E-2</v>
      </c>
      <c r="O42" s="1">
        <v>12.3</v>
      </c>
      <c r="P42" s="19">
        <f t="shared" si="0"/>
        <v>1.23E-2</v>
      </c>
    </row>
    <row r="43" spans="1:16" ht="15.75" customHeight="1" x14ac:dyDescent="0.35">
      <c r="A43">
        <v>38</v>
      </c>
      <c r="B43" s="2">
        <v>45468</v>
      </c>
      <c r="C43" s="16" t="s">
        <v>12</v>
      </c>
      <c r="D43" s="13" t="s">
        <v>30</v>
      </c>
      <c r="E43" s="13">
        <v>3</v>
      </c>
      <c r="G43" t="s">
        <v>52</v>
      </c>
      <c r="H43" s="13" t="s">
        <v>27</v>
      </c>
      <c r="I43" s="13" t="s">
        <v>16</v>
      </c>
      <c r="J43" s="4">
        <v>45402</v>
      </c>
      <c r="K43" s="17">
        <v>1650</v>
      </c>
      <c r="L43" s="17" t="s">
        <v>17</v>
      </c>
      <c r="M43" s="1">
        <v>7.8399999999999997E-2</v>
      </c>
      <c r="N43" s="1">
        <v>14.56</v>
      </c>
      <c r="O43" s="1">
        <v>41.6</v>
      </c>
      <c r="P43" s="19">
        <f t="shared" si="0"/>
        <v>4.1600000000000005E-2</v>
      </c>
    </row>
    <row r="44" spans="1:16" ht="15.75" customHeight="1" x14ac:dyDescent="0.35">
      <c r="A44">
        <v>40</v>
      </c>
      <c r="B44" s="2">
        <v>45468</v>
      </c>
      <c r="C44" s="16" t="s">
        <v>12</v>
      </c>
      <c r="D44" s="13" t="s">
        <v>33</v>
      </c>
      <c r="E44" s="13">
        <v>3</v>
      </c>
      <c r="G44" t="s">
        <v>52</v>
      </c>
      <c r="H44" s="13" t="s">
        <v>20</v>
      </c>
      <c r="I44" s="13" t="s">
        <v>16</v>
      </c>
      <c r="J44" s="4">
        <v>45402</v>
      </c>
      <c r="K44" s="17">
        <v>1650</v>
      </c>
      <c r="L44" s="17" t="s">
        <v>17</v>
      </c>
      <c r="M44" s="1">
        <v>8.43E-3</v>
      </c>
      <c r="N44" s="1">
        <v>0.111</v>
      </c>
      <c r="O44" s="1">
        <v>11.4</v>
      </c>
      <c r="P44" s="19">
        <f t="shared" si="0"/>
        <v>1.14E-2</v>
      </c>
    </row>
    <row r="45" spans="1:16" ht="15.75" customHeight="1" x14ac:dyDescent="0.35">
      <c r="A45">
        <v>39</v>
      </c>
      <c r="B45" s="2">
        <v>45468</v>
      </c>
      <c r="C45" s="16" t="s">
        <v>12</v>
      </c>
      <c r="D45" s="13" t="s">
        <v>31</v>
      </c>
      <c r="E45" s="13">
        <v>3</v>
      </c>
      <c r="G45" t="s">
        <v>52</v>
      </c>
      <c r="H45" s="13" t="s">
        <v>23</v>
      </c>
      <c r="I45" s="13" t="s">
        <v>16</v>
      </c>
      <c r="J45" s="4">
        <v>45402</v>
      </c>
      <c r="K45" s="17">
        <v>1650</v>
      </c>
      <c r="L45" s="17" t="s">
        <v>17</v>
      </c>
      <c r="M45" s="1">
        <v>2.3400000000000001E-2</v>
      </c>
      <c r="N45" s="1">
        <v>0.13400000000000001</v>
      </c>
      <c r="O45" s="1">
        <v>9.68</v>
      </c>
      <c r="P45" s="19">
        <f t="shared" si="0"/>
        <v>9.6799999999999994E-3</v>
      </c>
    </row>
    <row r="46" spans="1:16" ht="15.75" customHeight="1" x14ac:dyDescent="0.35">
      <c r="A46">
        <v>31</v>
      </c>
      <c r="B46" s="2">
        <v>45468</v>
      </c>
      <c r="C46" s="16" t="s">
        <v>12</v>
      </c>
      <c r="D46" s="13" t="s">
        <v>13</v>
      </c>
      <c r="E46" s="13">
        <v>4</v>
      </c>
      <c r="G46" t="s">
        <v>52</v>
      </c>
      <c r="H46" s="13" t="s">
        <v>15</v>
      </c>
      <c r="I46" s="13" t="s">
        <v>21</v>
      </c>
      <c r="J46" s="4">
        <v>45402</v>
      </c>
      <c r="K46" s="17">
        <v>1650</v>
      </c>
      <c r="L46" s="17" t="s">
        <v>17</v>
      </c>
      <c r="M46" s="1">
        <v>0.14360000000000001</v>
      </c>
      <c r="N46" s="1">
        <v>0.254</v>
      </c>
      <c r="O46" s="1">
        <v>66.8</v>
      </c>
      <c r="P46" s="19">
        <f t="shared" si="0"/>
        <v>6.6799999999999998E-2</v>
      </c>
    </row>
    <row r="47" spans="1:16" ht="15.75" customHeight="1" x14ac:dyDescent="0.35">
      <c r="A47">
        <v>34</v>
      </c>
      <c r="B47" s="2">
        <v>45468</v>
      </c>
      <c r="C47" s="16" t="s">
        <v>12</v>
      </c>
      <c r="D47" s="13" t="s">
        <v>45</v>
      </c>
      <c r="E47" s="13">
        <v>4</v>
      </c>
      <c r="G47" t="s">
        <v>52</v>
      </c>
      <c r="H47" s="13" t="s">
        <v>29</v>
      </c>
      <c r="I47" s="13" t="s">
        <v>21</v>
      </c>
      <c r="J47" s="4">
        <v>45402</v>
      </c>
      <c r="K47" s="17">
        <v>1650</v>
      </c>
      <c r="L47" s="17" t="s">
        <v>17</v>
      </c>
      <c r="M47" s="17">
        <v>0.17799999999999999</v>
      </c>
      <c r="N47" s="17">
        <v>0.29199999999999998</v>
      </c>
      <c r="O47" s="17">
        <v>29.84</v>
      </c>
      <c r="P47" s="19">
        <f t="shared" si="0"/>
        <v>2.9840000000000002E-2</v>
      </c>
    </row>
    <row r="48" spans="1:16" ht="15.75" customHeight="1" x14ac:dyDescent="0.35">
      <c r="A48">
        <v>36</v>
      </c>
      <c r="B48" s="2">
        <v>45468</v>
      </c>
      <c r="C48" s="16" t="s">
        <v>12</v>
      </c>
      <c r="D48" s="13" t="s">
        <v>26</v>
      </c>
      <c r="E48" s="13">
        <v>4</v>
      </c>
      <c r="G48" t="s">
        <v>52</v>
      </c>
      <c r="H48" s="13" t="s">
        <v>27</v>
      </c>
      <c r="I48" s="13" t="s">
        <v>16</v>
      </c>
      <c r="J48" s="4">
        <v>45402</v>
      </c>
      <c r="K48" s="17">
        <v>1650</v>
      </c>
      <c r="L48" s="17" t="s">
        <v>17</v>
      </c>
      <c r="M48" s="17">
        <v>1.7100000000000001E-2</v>
      </c>
      <c r="N48" s="17">
        <v>48.2</v>
      </c>
      <c r="O48" s="17">
        <v>21.5</v>
      </c>
      <c r="P48" s="19">
        <f t="shared" si="0"/>
        <v>2.1500000000000002E-2</v>
      </c>
    </row>
    <row r="49" spans="1:16" ht="15.75" customHeight="1" x14ac:dyDescent="0.35">
      <c r="A49">
        <v>32</v>
      </c>
      <c r="B49" s="2">
        <v>45468</v>
      </c>
      <c r="C49" s="16" t="s">
        <v>12</v>
      </c>
      <c r="D49" s="13" t="s">
        <v>18</v>
      </c>
      <c r="E49" s="13">
        <v>4</v>
      </c>
      <c r="G49" t="s">
        <v>52</v>
      </c>
      <c r="H49" s="13" t="s">
        <v>20</v>
      </c>
      <c r="I49" s="13" t="s">
        <v>16</v>
      </c>
      <c r="J49" s="4">
        <v>45402</v>
      </c>
      <c r="K49" s="17">
        <v>1650</v>
      </c>
      <c r="L49" s="17" t="s">
        <v>17</v>
      </c>
      <c r="M49" s="1">
        <v>7.4099999999999999E-3</v>
      </c>
      <c r="N49" s="1">
        <v>-1.3100000000000001E-2</v>
      </c>
      <c r="O49" s="1">
        <v>11</v>
      </c>
      <c r="P49" s="19">
        <f t="shared" si="0"/>
        <v>1.0999999999999999E-2</v>
      </c>
    </row>
    <row r="50" spans="1:16" ht="15.75" customHeight="1" x14ac:dyDescent="0.35">
      <c r="A50">
        <v>35</v>
      </c>
      <c r="B50" s="2">
        <v>45468</v>
      </c>
      <c r="C50" s="16" t="s">
        <v>12</v>
      </c>
      <c r="D50" s="13" t="s">
        <v>24</v>
      </c>
      <c r="E50" s="13">
        <v>4</v>
      </c>
      <c r="G50" t="s">
        <v>52</v>
      </c>
      <c r="H50" s="13" t="s">
        <v>25</v>
      </c>
      <c r="I50" s="13" t="s">
        <v>16</v>
      </c>
      <c r="J50" s="4">
        <v>45402</v>
      </c>
      <c r="K50" s="17">
        <v>1650</v>
      </c>
      <c r="L50" s="17" t="s">
        <v>17</v>
      </c>
      <c r="M50" s="17">
        <v>2.3400000000000001E-2</v>
      </c>
      <c r="N50" s="17">
        <v>21.3</v>
      </c>
      <c r="O50" s="17">
        <v>13.4</v>
      </c>
      <c r="P50" s="19">
        <f t="shared" si="0"/>
        <v>1.34E-2</v>
      </c>
    </row>
    <row r="51" spans="1:16" ht="15.75" customHeight="1" x14ac:dyDescent="0.35">
      <c r="A51">
        <v>33</v>
      </c>
      <c r="B51" s="2">
        <v>45468</v>
      </c>
      <c r="C51" s="16" t="s">
        <v>12</v>
      </c>
      <c r="D51" s="13" t="s">
        <v>22</v>
      </c>
      <c r="E51" s="13">
        <v>4</v>
      </c>
      <c r="G51" t="s">
        <v>52</v>
      </c>
      <c r="H51" s="13" t="s">
        <v>23</v>
      </c>
      <c r="I51" s="13" t="s">
        <v>21</v>
      </c>
      <c r="J51" s="4">
        <v>45402</v>
      </c>
      <c r="K51" s="17">
        <v>1650</v>
      </c>
      <c r="L51" s="17" t="s">
        <v>17</v>
      </c>
      <c r="M51" s="1">
        <v>0.14080000000000001</v>
      </c>
      <c r="N51" s="1">
        <v>0.32279999999999998</v>
      </c>
      <c r="O51" s="1">
        <v>27.32</v>
      </c>
      <c r="P51" s="19">
        <f t="shared" si="0"/>
        <v>2.7320000000000001E-2</v>
      </c>
    </row>
    <row r="52" spans="1:16" ht="15.75" customHeight="1" x14ac:dyDescent="0.35">
      <c r="A52">
        <v>57</v>
      </c>
      <c r="B52" s="2">
        <v>45475</v>
      </c>
      <c r="C52" t="s">
        <v>12</v>
      </c>
      <c r="D52" s="18" t="s">
        <v>34</v>
      </c>
      <c r="E52" s="18">
        <v>1</v>
      </c>
      <c r="G52" t="s">
        <v>52</v>
      </c>
      <c r="H52" s="18" t="s">
        <v>15</v>
      </c>
      <c r="I52" s="18" t="s">
        <v>21</v>
      </c>
      <c r="J52" s="4">
        <v>45406</v>
      </c>
      <c r="K52">
        <v>1651</v>
      </c>
      <c r="L52" t="s">
        <v>17</v>
      </c>
      <c r="M52" s="1">
        <v>9.2099999999999994E-3</v>
      </c>
      <c r="N52" s="1">
        <v>0.107</v>
      </c>
      <c r="O52" s="1">
        <v>38.6</v>
      </c>
      <c r="P52" s="19">
        <f t="shared" si="0"/>
        <v>3.8600000000000002E-2</v>
      </c>
    </row>
    <row r="53" spans="1:16" ht="15.75" customHeight="1" x14ac:dyDescent="0.35">
      <c r="A53">
        <v>58</v>
      </c>
      <c r="B53" s="2">
        <v>45475</v>
      </c>
      <c r="C53" t="s">
        <v>12</v>
      </c>
      <c r="D53" s="18" t="s">
        <v>34</v>
      </c>
      <c r="E53" s="18">
        <v>1</v>
      </c>
      <c r="G53" t="s">
        <v>52</v>
      </c>
      <c r="H53" s="18" t="s">
        <v>15</v>
      </c>
      <c r="I53" s="18" t="s">
        <v>16</v>
      </c>
      <c r="J53" s="4">
        <v>45406</v>
      </c>
      <c r="K53">
        <v>1651</v>
      </c>
      <c r="L53" t="s">
        <v>17</v>
      </c>
      <c r="M53" s="1">
        <v>1.43E-2</v>
      </c>
      <c r="N53" s="1">
        <v>6.54E-2</v>
      </c>
      <c r="O53" s="1">
        <v>8.0299999999999994</v>
      </c>
      <c r="P53" s="19">
        <f t="shared" si="0"/>
        <v>8.0299999999999989E-3</v>
      </c>
    </row>
    <row r="54" spans="1:16" ht="15.75" customHeight="1" x14ac:dyDescent="0.35">
      <c r="A54">
        <v>61</v>
      </c>
      <c r="B54" s="2">
        <v>45475</v>
      </c>
      <c r="C54" t="s">
        <v>12</v>
      </c>
      <c r="D54" s="18" t="s">
        <v>37</v>
      </c>
      <c r="E54" s="18">
        <v>1</v>
      </c>
      <c r="G54" t="s">
        <v>52</v>
      </c>
      <c r="H54" s="18" t="s">
        <v>29</v>
      </c>
      <c r="I54" s="18" t="s">
        <v>21</v>
      </c>
      <c r="J54" s="4">
        <v>45406</v>
      </c>
      <c r="K54">
        <v>1651</v>
      </c>
      <c r="L54" t="s">
        <v>17</v>
      </c>
      <c r="M54" s="1">
        <v>0.01</v>
      </c>
      <c r="N54" s="1">
        <v>6.3299999999999995E-2</v>
      </c>
      <c r="O54" s="1">
        <v>9.6</v>
      </c>
      <c r="P54" s="19">
        <f t="shared" si="0"/>
        <v>9.5999999999999992E-3</v>
      </c>
    </row>
    <row r="55" spans="1:16" ht="15.75" customHeight="1" x14ac:dyDescent="0.35">
      <c r="A55">
        <v>62</v>
      </c>
      <c r="B55" s="2">
        <v>45475</v>
      </c>
      <c r="C55" t="s">
        <v>12</v>
      </c>
      <c r="D55" s="18" t="s">
        <v>37</v>
      </c>
      <c r="E55" s="18">
        <v>1</v>
      </c>
      <c r="G55" t="s">
        <v>52</v>
      </c>
      <c r="H55" s="18" t="s">
        <v>29</v>
      </c>
      <c r="I55" s="18" t="s">
        <v>16</v>
      </c>
      <c r="J55" s="4">
        <v>45406</v>
      </c>
      <c r="K55">
        <v>1651</v>
      </c>
      <c r="L55" t="s">
        <v>17</v>
      </c>
      <c r="M55" s="1">
        <v>6.7299999999999999E-3</v>
      </c>
      <c r="N55" s="1">
        <v>5.2400000000000002E-2</v>
      </c>
      <c r="O55" s="1">
        <v>8.39</v>
      </c>
      <c r="P55" s="19">
        <f t="shared" si="0"/>
        <v>8.3899999999999999E-3</v>
      </c>
    </row>
    <row r="56" spans="1:16" ht="15.75" customHeight="1" x14ac:dyDescent="0.35">
      <c r="A56">
        <v>64</v>
      </c>
      <c r="B56" s="2">
        <v>45475</v>
      </c>
      <c r="C56" t="s">
        <v>12</v>
      </c>
      <c r="D56" s="18" t="s">
        <v>39</v>
      </c>
      <c r="E56" s="18">
        <v>1</v>
      </c>
      <c r="G56" t="s">
        <v>52</v>
      </c>
      <c r="H56" s="18" t="s">
        <v>27</v>
      </c>
      <c r="I56" s="18" t="s">
        <v>21</v>
      </c>
      <c r="J56" s="4">
        <v>45406</v>
      </c>
      <c r="K56">
        <v>1651</v>
      </c>
      <c r="L56" t="s">
        <v>17</v>
      </c>
      <c r="M56" s="1">
        <v>1.14E-2</v>
      </c>
      <c r="N56" s="1">
        <v>0.27600000000000002</v>
      </c>
      <c r="O56" s="1">
        <v>11.8</v>
      </c>
      <c r="P56" s="19">
        <f t="shared" si="0"/>
        <v>1.1800000000000001E-2</v>
      </c>
    </row>
    <row r="57" spans="1:16" ht="15.75" customHeight="1" x14ac:dyDescent="0.35">
      <c r="A57">
        <v>59</v>
      </c>
      <c r="B57" s="2">
        <v>45475</v>
      </c>
      <c r="C57" t="s">
        <v>12</v>
      </c>
      <c r="D57" s="18" t="s">
        <v>35</v>
      </c>
      <c r="E57" s="18">
        <v>1</v>
      </c>
      <c r="G57" t="s">
        <v>52</v>
      </c>
      <c r="H57" s="18" t="s">
        <v>20</v>
      </c>
      <c r="I57" s="18" t="s">
        <v>21</v>
      </c>
      <c r="J57" s="4">
        <v>45406</v>
      </c>
      <c r="K57">
        <v>1651</v>
      </c>
      <c r="L57" t="s">
        <v>17</v>
      </c>
      <c r="M57" s="1">
        <v>8.8599999999999998E-3</v>
      </c>
      <c r="N57" s="1">
        <v>4.6100000000000004E-3</v>
      </c>
      <c r="O57" s="1">
        <v>12.7</v>
      </c>
      <c r="P57" s="19">
        <f t="shared" si="0"/>
        <v>1.2699999999999999E-2</v>
      </c>
    </row>
    <row r="58" spans="1:16" ht="15.75" customHeight="1" x14ac:dyDescent="0.35">
      <c r="A58">
        <v>63</v>
      </c>
      <c r="B58" s="2">
        <v>45475</v>
      </c>
      <c r="C58" t="s">
        <v>12</v>
      </c>
      <c r="D58" s="18" t="s">
        <v>38</v>
      </c>
      <c r="E58" s="18">
        <v>1</v>
      </c>
      <c r="G58" t="s">
        <v>52</v>
      </c>
      <c r="H58" s="18" t="s">
        <v>25</v>
      </c>
      <c r="I58" s="18" t="s">
        <v>21</v>
      </c>
      <c r="J58" s="4">
        <v>45406</v>
      </c>
      <c r="K58">
        <v>1651</v>
      </c>
      <c r="L58" t="s">
        <v>17</v>
      </c>
      <c r="M58" s="1">
        <v>8.9200000000000008E-3</v>
      </c>
      <c r="N58" s="1">
        <v>0.13400000000000001</v>
      </c>
      <c r="O58" s="1">
        <v>18.600000000000001</v>
      </c>
      <c r="P58" s="19">
        <f t="shared" si="0"/>
        <v>1.8600000000000002E-2</v>
      </c>
    </row>
    <row r="59" spans="1:16" ht="15.75" customHeight="1" x14ac:dyDescent="0.35">
      <c r="A59">
        <v>87</v>
      </c>
      <c r="B59" s="2">
        <v>45475</v>
      </c>
      <c r="C59" t="s">
        <v>12</v>
      </c>
      <c r="D59" t="s">
        <v>38</v>
      </c>
      <c r="E59">
        <v>1</v>
      </c>
      <c r="G59" t="s">
        <v>52</v>
      </c>
      <c r="H59" t="s">
        <v>25</v>
      </c>
      <c r="I59" t="s">
        <v>16</v>
      </c>
      <c r="J59" s="4">
        <v>45406</v>
      </c>
      <c r="K59">
        <v>1651</v>
      </c>
      <c r="L59" t="s">
        <v>17</v>
      </c>
      <c r="M59" s="1">
        <v>3.2099999999999997E-2</v>
      </c>
      <c r="N59" s="1">
        <v>0.22700000000000001</v>
      </c>
      <c r="O59" s="1">
        <v>10.199999999999999</v>
      </c>
      <c r="P59" s="19">
        <f t="shared" si="0"/>
        <v>1.0199999999999999E-2</v>
      </c>
    </row>
    <row r="60" spans="1:16" ht="15.75" customHeight="1" x14ac:dyDescent="0.35">
      <c r="A60">
        <v>60</v>
      </c>
      <c r="B60" s="2">
        <v>45475</v>
      </c>
      <c r="C60" t="s">
        <v>12</v>
      </c>
      <c r="D60" s="18" t="s">
        <v>36</v>
      </c>
      <c r="E60" s="18">
        <v>1</v>
      </c>
      <c r="G60" t="s">
        <v>52</v>
      </c>
      <c r="H60" s="18" t="s">
        <v>23</v>
      </c>
      <c r="I60" s="18" t="s">
        <v>16</v>
      </c>
      <c r="J60" s="4">
        <v>45406</v>
      </c>
      <c r="K60">
        <v>1651</v>
      </c>
      <c r="L60" t="s">
        <v>17</v>
      </c>
      <c r="M60" s="1">
        <v>8.3599999999999994E-3</v>
      </c>
      <c r="N60" s="1">
        <v>5.8799999999999998E-2</v>
      </c>
      <c r="O60" s="1">
        <v>8.6199999999999992</v>
      </c>
      <c r="P60" s="19">
        <f t="shared" si="0"/>
        <v>8.6199999999999992E-3</v>
      </c>
    </row>
    <row r="61" spans="1:16" ht="15.75" customHeight="1" x14ac:dyDescent="0.35">
      <c r="A61">
        <v>72</v>
      </c>
      <c r="B61" s="2">
        <v>45475</v>
      </c>
      <c r="C61" t="s">
        <v>12</v>
      </c>
      <c r="D61" s="18" t="s">
        <v>43</v>
      </c>
      <c r="E61" s="18">
        <v>2</v>
      </c>
      <c r="G61" t="s">
        <v>52</v>
      </c>
      <c r="H61" s="18" t="s">
        <v>15</v>
      </c>
      <c r="I61" s="18" t="s">
        <v>16</v>
      </c>
      <c r="J61" s="4">
        <v>45406</v>
      </c>
      <c r="K61">
        <v>1651</v>
      </c>
      <c r="L61" t="s">
        <v>17</v>
      </c>
      <c r="M61" s="1">
        <v>3.3099999999999997E-2</v>
      </c>
      <c r="N61" s="1">
        <v>6.8900000000000003E-2</v>
      </c>
      <c r="O61" s="1">
        <v>12</v>
      </c>
      <c r="P61" s="19">
        <f t="shared" si="0"/>
        <v>1.2E-2</v>
      </c>
    </row>
    <row r="62" spans="1:16" ht="15.75" customHeight="1" x14ac:dyDescent="0.35">
      <c r="A62">
        <v>69</v>
      </c>
      <c r="B62" s="2">
        <v>45475</v>
      </c>
      <c r="C62" t="s">
        <v>12</v>
      </c>
      <c r="D62" s="18" t="s">
        <v>42</v>
      </c>
      <c r="E62" s="18">
        <v>2</v>
      </c>
      <c r="G62" t="s">
        <v>52</v>
      </c>
      <c r="H62" s="18" t="s">
        <v>29</v>
      </c>
      <c r="I62" s="18" t="s">
        <v>16</v>
      </c>
      <c r="J62" s="4">
        <v>45406</v>
      </c>
      <c r="K62">
        <v>1651</v>
      </c>
      <c r="L62" t="s">
        <v>17</v>
      </c>
      <c r="M62" s="1">
        <v>0.28239999999999998</v>
      </c>
      <c r="N62" s="1">
        <v>0.46</v>
      </c>
      <c r="O62" s="1">
        <v>61.52</v>
      </c>
      <c r="P62" s="19">
        <f t="shared" si="0"/>
        <v>6.1520000000000005E-2</v>
      </c>
    </row>
    <row r="63" spans="1:16" ht="15.75" customHeight="1" x14ac:dyDescent="0.35">
      <c r="A63">
        <v>70</v>
      </c>
      <c r="B63" s="2">
        <v>45475</v>
      </c>
      <c r="C63" t="s">
        <v>12</v>
      </c>
      <c r="D63" s="18" t="s">
        <v>42</v>
      </c>
      <c r="E63" s="18">
        <v>2</v>
      </c>
      <c r="G63" t="s">
        <v>52</v>
      </c>
      <c r="H63" s="18" t="s">
        <v>29</v>
      </c>
      <c r="I63" s="18" t="s">
        <v>21</v>
      </c>
      <c r="J63" s="4">
        <v>45406</v>
      </c>
      <c r="K63">
        <v>1651</v>
      </c>
      <c r="L63" t="s">
        <v>17</v>
      </c>
      <c r="M63" s="1">
        <v>3.2199999999999999E-2</v>
      </c>
      <c r="N63" s="1">
        <v>6.9400000000000003E-2</v>
      </c>
      <c r="O63" s="1">
        <v>45.8</v>
      </c>
      <c r="P63" s="19">
        <f t="shared" si="0"/>
        <v>4.58E-2</v>
      </c>
    </row>
    <row r="64" spans="1:16" ht="15.75" customHeight="1" x14ac:dyDescent="0.35">
      <c r="A64">
        <v>67</v>
      </c>
      <c r="B64" s="2">
        <v>45475</v>
      </c>
      <c r="C64" t="s">
        <v>12</v>
      </c>
      <c r="D64" s="18" t="s">
        <v>41</v>
      </c>
      <c r="E64" s="18">
        <v>2</v>
      </c>
      <c r="G64" t="s">
        <v>52</v>
      </c>
      <c r="H64" s="18" t="s">
        <v>27</v>
      </c>
      <c r="I64" s="18" t="s">
        <v>21</v>
      </c>
      <c r="J64" s="4">
        <v>45406</v>
      </c>
      <c r="K64">
        <v>1651</v>
      </c>
      <c r="L64" t="s">
        <v>17</v>
      </c>
      <c r="M64" s="1">
        <v>0.25359999999999999</v>
      </c>
      <c r="N64" s="1">
        <v>11.16</v>
      </c>
      <c r="O64" s="1">
        <v>768</v>
      </c>
      <c r="P64" s="19">
        <f t="shared" si="0"/>
        <v>0.76800000000000002</v>
      </c>
    </row>
    <row r="65" spans="1:16" ht="15.75" customHeight="1" x14ac:dyDescent="0.35">
      <c r="A65">
        <v>68</v>
      </c>
      <c r="B65" s="2">
        <v>45475</v>
      </c>
      <c r="C65" t="s">
        <v>12</v>
      </c>
      <c r="D65" s="18" t="s">
        <v>41</v>
      </c>
      <c r="E65" s="18">
        <v>2</v>
      </c>
      <c r="G65" t="s">
        <v>52</v>
      </c>
      <c r="H65" s="18" t="s">
        <v>27</v>
      </c>
      <c r="I65" s="18" t="s">
        <v>16</v>
      </c>
      <c r="J65" s="4">
        <v>45406</v>
      </c>
      <c r="K65">
        <v>1651</v>
      </c>
      <c r="L65" t="s">
        <v>17</v>
      </c>
      <c r="M65" s="1">
        <v>0.1444</v>
      </c>
      <c r="N65" s="1">
        <v>1.1279999999999999</v>
      </c>
      <c r="O65" s="1">
        <v>52</v>
      </c>
      <c r="P65" s="19">
        <f t="shared" si="0"/>
        <v>5.2000000000000005E-2</v>
      </c>
    </row>
    <row r="66" spans="1:16" ht="15.75" customHeight="1" x14ac:dyDescent="0.35">
      <c r="A66">
        <v>73</v>
      </c>
      <c r="B66" s="2">
        <v>45475</v>
      </c>
      <c r="C66" t="s">
        <v>12</v>
      </c>
      <c r="D66" s="18" t="s">
        <v>44</v>
      </c>
      <c r="E66" s="18">
        <v>2</v>
      </c>
      <c r="G66" t="s">
        <v>52</v>
      </c>
      <c r="H66" s="18" t="s">
        <v>20</v>
      </c>
      <c r="I66" s="18" t="s">
        <v>21</v>
      </c>
      <c r="J66" s="4">
        <v>45406</v>
      </c>
      <c r="K66">
        <v>1651</v>
      </c>
      <c r="L66" t="s">
        <v>17</v>
      </c>
      <c r="M66" s="1">
        <v>3.5499999999999997E-2</v>
      </c>
      <c r="N66" s="1">
        <v>1.3299999999999999E-2</v>
      </c>
      <c r="O66" s="1">
        <v>18.899999999999999</v>
      </c>
      <c r="P66" s="19">
        <f t="shared" si="0"/>
        <v>1.89E-2</v>
      </c>
    </row>
    <row r="67" spans="1:16" ht="15.75" customHeight="1" x14ac:dyDescent="0.35">
      <c r="A67">
        <v>71</v>
      </c>
      <c r="B67" s="2">
        <v>45475</v>
      </c>
      <c r="C67" t="s">
        <v>12</v>
      </c>
      <c r="D67" s="18" t="s">
        <v>47</v>
      </c>
      <c r="E67" s="18">
        <v>2</v>
      </c>
      <c r="G67" t="s">
        <v>52</v>
      </c>
      <c r="H67" s="18" t="s">
        <v>25</v>
      </c>
      <c r="I67" s="18" t="s">
        <v>21</v>
      </c>
      <c r="J67" s="4">
        <v>45406</v>
      </c>
      <c r="K67">
        <v>1651</v>
      </c>
      <c r="L67" t="s">
        <v>17</v>
      </c>
      <c r="M67" s="1">
        <v>0.12720000000000001</v>
      </c>
      <c r="N67" s="1">
        <v>0.51200000000000001</v>
      </c>
      <c r="O67" s="1">
        <v>102.8</v>
      </c>
      <c r="P67" s="19">
        <f t="shared" ref="P67:P130" si="1">O67*0.001</f>
        <v>0.1028</v>
      </c>
    </row>
    <row r="68" spans="1:16" ht="15.75" customHeight="1" x14ac:dyDescent="0.35">
      <c r="A68">
        <v>65</v>
      </c>
      <c r="B68" s="2">
        <v>45475</v>
      </c>
      <c r="C68" t="s">
        <v>12</v>
      </c>
      <c r="D68" s="18" t="s">
        <v>40</v>
      </c>
      <c r="E68" s="18">
        <v>2</v>
      </c>
      <c r="G68" t="s">
        <v>52</v>
      </c>
      <c r="H68" s="18" t="s">
        <v>23</v>
      </c>
      <c r="I68" s="18" t="s">
        <v>21</v>
      </c>
      <c r="J68" s="4">
        <v>45406</v>
      </c>
      <c r="K68">
        <v>1651</v>
      </c>
      <c r="L68" t="s">
        <v>17</v>
      </c>
      <c r="M68" s="1">
        <v>1.11E-2</v>
      </c>
      <c r="N68" s="1">
        <v>0.25</v>
      </c>
      <c r="O68" s="1">
        <v>14.1</v>
      </c>
      <c r="P68" s="19">
        <f t="shared" si="1"/>
        <v>1.41E-2</v>
      </c>
    </row>
    <row r="69" spans="1:16" ht="15.75" customHeight="1" x14ac:dyDescent="0.35">
      <c r="A69">
        <v>66</v>
      </c>
      <c r="B69" s="2">
        <v>45475</v>
      </c>
      <c r="C69" t="s">
        <v>12</v>
      </c>
      <c r="D69" s="18" t="s">
        <v>40</v>
      </c>
      <c r="E69" s="18">
        <v>2</v>
      </c>
      <c r="G69" t="s">
        <v>52</v>
      </c>
      <c r="H69" s="18" t="s">
        <v>23</v>
      </c>
      <c r="I69" s="18" t="s">
        <v>16</v>
      </c>
      <c r="J69" s="4">
        <v>45406</v>
      </c>
      <c r="K69">
        <v>1651</v>
      </c>
      <c r="L69" t="s">
        <v>17</v>
      </c>
      <c r="M69" s="1">
        <v>3.1899999999999998E-2</v>
      </c>
      <c r="N69" s="1">
        <v>1.94</v>
      </c>
      <c r="O69" s="1">
        <v>9.5399999999999991</v>
      </c>
      <c r="P69" s="19">
        <f t="shared" si="1"/>
        <v>9.5399999999999999E-3</v>
      </c>
    </row>
    <row r="70" spans="1:16" ht="15.75" customHeight="1" x14ac:dyDescent="0.35">
      <c r="A70">
        <v>54</v>
      </c>
      <c r="B70" s="2">
        <v>45475</v>
      </c>
      <c r="C70" t="s">
        <v>12</v>
      </c>
      <c r="D70" s="18" t="s">
        <v>32</v>
      </c>
      <c r="E70" s="18">
        <v>3</v>
      </c>
      <c r="G70" t="s">
        <v>52</v>
      </c>
      <c r="H70" s="18" t="s">
        <v>15</v>
      </c>
      <c r="I70" s="18" t="s">
        <v>21</v>
      </c>
      <c r="J70" s="4">
        <v>45406</v>
      </c>
      <c r="K70">
        <v>1651</v>
      </c>
      <c r="L70" t="s">
        <v>17</v>
      </c>
      <c r="M70" s="1">
        <v>9.0799999999999995E-3</v>
      </c>
      <c r="N70" s="1">
        <v>5.6300000000000003E-2</v>
      </c>
      <c r="O70" s="1">
        <v>13.9</v>
      </c>
      <c r="P70" s="19">
        <f t="shared" si="1"/>
        <v>1.3900000000000001E-2</v>
      </c>
    </row>
    <row r="71" spans="1:16" ht="15.75" customHeight="1" x14ac:dyDescent="0.35">
      <c r="A71">
        <v>82</v>
      </c>
      <c r="B71" s="2">
        <v>45475</v>
      </c>
      <c r="C71" t="s">
        <v>12</v>
      </c>
      <c r="D71" s="18" t="s">
        <v>28</v>
      </c>
      <c r="E71" s="18">
        <v>3</v>
      </c>
      <c r="G71" t="s">
        <v>52</v>
      </c>
      <c r="H71" s="18" t="s">
        <v>29</v>
      </c>
      <c r="I71" s="18" t="s">
        <v>21</v>
      </c>
      <c r="J71" s="4">
        <v>45406</v>
      </c>
      <c r="K71">
        <v>1651</v>
      </c>
      <c r="L71" t="s">
        <v>17</v>
      </c>
      <c r="M71" s="1">
        <v>9.1399999999999995E-2</v>
      </c>
      <c r="N71" s="1">
        <v>0.24</v>
      </c>
      <c r="O71" s="1">
        <v>20.399999999999999</v>
      </c>
      <c r="P71" s="19">
        <f t="shared" si="1"/>
        <v>2.0399999999999998E-2</v>
      </c>
    </row>
    <row r="72" spans="1:16" ht="15.75" customHeight="1" x14ac:dyDescent="0.35">
      <c r="A72">
        <v>83</v>
      </c>
      <c r="B72" s="2">
        <v>45475</v>
      </c>
      <c r="C72" t="s">
        <v>12</v>
      </c>
      <c r="D72" s="18" t="s">
        <v>28</v>
      </c>
      <c r="E72" s="18">
        <v>3</v>
      </c>
      <c r="G72" t="s">
        <v>52</v>
      </c>
      <c r="H72" s="18" t="s">
        <v>29</v>
      </c>
      <c r="I72" s="18" t="s">
        <v>16</v>
      </c>
      <c r="J72" s="4">
        <v>45406</v>
      </c>
      <c r="K72">
        <v>1651</v>
      </c>
      <c r="L72" t="s">
        <v>17</v>
      </c>
      <c r="M72" s="1">
        <v>3.15E-2</v>
      </c>
      <c r="N72" s="1">
        <v>8.4099999999999994E-2</v>
      </c>
      <c r="O72" s="1">
        <v>12.8</v>
      </c>
      <c r="P72" s="19">
        <f t="shared" si="1"/>
        <v>1.2800000000000001E-2</v>
      </c>
    </row>
    <row r="73" spans="1:16" ht="15.75" customHeight="1" x14ac:dyDescent="0.35">
      <c r="A73">
        <v>84</v>
      </c>
      <c r="B73" s="2">
        <v>45475</v>
      </c>
      <c r="C73" t="s">
        <v>12</v>
      </c>
      <c r="D73" s="18" t="s">
        <v>30</v>
      </c>
      <c r="E73" s="18">
        <v>3</v>
      </c>
      <c r="G73" t="s">
        <v>52</v>
      </c>
      <c r="H73" s="18" t="s">
        <v>27</v>
      </c>
      <c r="I73" s="18" t="s">
        <v>16</v>
      </c>
      <c r="J73" s="4">
        <v>45406</v>
      </c>
      <c r="K73">
        <v>1651</v>
      </c>
      <c r="L73" t="s">
        <v>17</v>
      </c>
      <c r="M73" s="1">
        <v>0.1328</v>
      </c>
      <c r="N73" s="1">
        <v>14.48</v>
      </c>
      <c r="O73" s="1">
        <v>54.4</v>
      </c>
      <c r="P73" s="19">
        <f t="shared" si="1"/>
        <v>5.4399999999999997E-2</v>
      </c>
    </row>
    <row r="74" spans="1:16" ht="15.75" customHeight="1" x14ac:dyDescent="0.35">
      <c r="A74">
        <v>55</v>
      </c>
      <c r="B74" s="2">
        <v>45475</v>
      </c>
      <c r="C74" t="s">
        <v>12</v>
      </c>
      <c r="D74" s="18" t="s">
        <v>33</v>
      </c>
      <c r="E74" s="18">
        <v>3</v>
      </c>
      <c r="G74" t="s">
        <v>52</v>
      </c>
      <c r="H74" s="18" t="s">
        <v>20</v>
      </c>
      <c r="I74" s="18" t="s">
        <v>21</v>
      </c>
      <c r="J74" s="4">
        <v>45406</v>
      </c>
      <c r="K74">
        <v>1651</v>
      </c>
      <c r="L74" t="s">
        <v>17</v>
      </c>
      <c r="M74" s="1">
        <v>1.0500000000000001E-2</v>
      </c>
      <c r="N74" s="1">
        <v>6.8900000000000003E-2</v>
      </c>
      <c r="O74" s="1">
        <v>18.5</v>
      </c>
      <c r="P74" s="19">
        <f t="shared" si="1"/>
        <v>1.8499999999999999E-2</v>
      </c>
    </row>
    <row r="75" spans="1:16" ht="15.75" customHeight="1" x14ac:dyDescent="0.35">
      <c r="A75">
        <v>56</v>
      </c>
      <c r="B75" s="2">
        <v>45475</v>
      </c>
      <c r="C75" t="s">
        <v>12</v>
      </c>
      <c r="D75" s="18" t="s">
        <v>33</v>
      </c>
      <c r="E75" s="18">
        <v>3</v>
      </c>
      <c r="G75" t="s">
        <v>52</v>
      </c>
      <c r="H75" s="18" t="s">
        <v>20</v>
      </c>
      <c r="I75" s="18" t="s">
        <v>16</v>
      </c>
      <c r="J75" s="4">
        <v>45406</v>
      </c>
      <c r="K75">
        <v>1651</v>
      </c>
      <c r="L75" t="s">
        <v>17</v>
      </c>
      <c r="M75" s="1">
        <v>1.1299999999999999E-2</v>
      </c>
      <c r="N75" s="1">
        <v>0.10100000000000001</v>
      </c>
      <c r="O75" s="1">
        <v>48.2</v>
      </c>
      <c r="P75" s="19">
        <f t="shared" si="1"/>
        <v>4.8200000000000007E-2</v>
      </c>
    </row>
    <row r="76" spans="1:16" ht="15.75" customHeight="1" x14ac:dyDescent="0.35">
      <c r="A76">
        <v>53</v>
      </c>
      <c r="B76" s="2">
        <v>45475</v>
      </c>
      <c r="C76" t="s">
        <v>12</v>
      </c>
      <c r="D76" s="18" t="s">
        <v>46</v>
      </c>
      <c r="E76" s="18">
        <v>3</v>
      </c>
      <c r="G76" t="s">
        <v>52</v>
      </c>
      <c r="H76" s="18" t="s">
        <v>25</v>
      </c>
      <c r="I76" s="18" t="s">
        <v>21</v>
      </c>
      <c r="J76" s="4">
        <v>45406</v>
      </c>
      <c r="K76">
        <v>1651</v>
      </c>
      <c r="L76" t="s">
        <v>17</v>
      </c>
      <c r="M76" s="1">
        <v>9.7000000000000003E-3</v>
      </c>
      <c r="N76" s="1">
        <v>0.17699999999999999</v>
      </c>
      <c r="O76" s="1">
        <v>83.6</v>
      </c>
      <c r="P76" s="19">
        <f t="shared" si="1"/>
        <v>8.3599999999999994E-2</v>
      </c>
    </row>
    <row r="77" spans="1:16" ht="15.75" customHeight="1" x14ac:dyDescent="0.35">
      <c r="A77">
        <v>85</v>
      </c>
      <c r="B77" s="2">
        <v>45475</v>
      </c>
      <c r="C77" t="s">
        <v>12</v>
      </c>
      <c r="D77" s="18" t="s">
        <v>31</v>
      </c>
      <c r="E77" s="18">
        <v>3</v>
      </c>
      <c r="G77" t="s">
        <v>52</v>
      </c>
      <c r="H77" s="18" t="s">
        <v>23</v>
      </c>
      <c r="I77" s="18" t="s">
        <v>21</v>
      </c>
      <c r="J77" s="4">
        <v>45406</v>
      </c>
      <c r="K77">
        <v>1651</v>
      </c>
      <c r="L77" t="s">
        <v>17</v>
      </c>
      <c r="M77" s="1">
        <v>3.4200000000000001E-2</v>
      </c>
      <c r="N77" s="1">
        <v>5.6800000000000003E-2</v>
      </c>
      <c r="O77" s="1">
        <v>20.7</v>
      </c>
      <c r="P77" s="19">
        <f t="shared" si="1"/>
        <v>2.07E-2</v>
      </c>
    </row>
    <row r="78" spans="1:16" ht="15.75" customHeight="1" x14ac:dyDescent="0.35">
      <c r="A78">
        <v>86</v>
      </c>
      <c r="B78" s="2">
        <v>45475</v>
      </c>
      <c r="C78" t="s">
        <v>12</v>
      </c>
      <c r="D78" s="18" t="s">
        <v>31</v>
      </c>
      <c r="E78" s="18">
        <v>3</v>
      </c>
      <c r="G78" t="s">
        <v>52</v>
      </c>
      <c r="H78" s="18" t="s">
        <v>23</v>
      </c>
      <c r="I78" s="18" t="s">
        <v>16</v>
      </c>
      <c r="J78" s="4">
        <v>45406</v>
      </c>
      <c r="K78">
        <v>1651</v>
      </c>
      <c r="L78" t="s">
        <v>17</v>
      </c>
      <c r="M78" s="1">
        <v>3.39E-2</v>
      </c>
      <c r="N78" s="1">
        <v>9.3700000000000006E-2</v>
      </c>
      <c r="O78" s="1">
        <v>16.5</v>
      </c>
      <c r="P78" s="19">
        <f t="shared" si="1"/>
        <v>1.6500000000000001E-2</v>
      </c>
    </row>
    <row r="79" spans="1:16" ht="15.75" customHeight="1" x14ac:dyDescent="0.35">
      <c r="A79">
        <v>51</v>
      </c>
      <c r="B79" s="2">
        <v>45475</v>
      </c>
      <c r="C79" t="s">
        <v>12</v>
      </c>
      <c r="D79" s="18" t="s">
        <v>13</v>
      </c>
      <c r="E79" s="18">
        <v>4</v>
      </c>
      <c r="G79" t="s">
        <v>52</v>
      </c>
      <c r="H79" s="18" t="s">
        <v>15</v>
      </c>
      <c r="I79" s="18" t="s">
        <v>16</v>
      </c>
      <c r="J79" s="4">
        <v>45406</v>
      </c>
      <c r="K79">
        <v>1651</v>
      </c>
      <c r="L79" t="s">
        <v>17</v>
      </c>
      <c r="M79" s="1">
        <v>0.2036</v>
      </c>
      <c r="N79" s="1">
        <v>0.23599999999999999</v>
      </c>
      <c r="O79" s="1">
        <v>28.12</v>
      </c>
      <c r="P79" s="19">
        <f t="shared" si="1"/>
        <v>2.8120000000000003E-2</v>
      </c>
    </row>
    <row r="80" spans="1:16" ht="15.75" customHeight="1" x14ac:dyDescent="0.35">
      <c r="A80">
        <v>74</v>
      </c>
      <c r="B80" s="2">
        <v>45475</v>
      </c>
      <c r="C80" t="s">
        <v>12</v>
      </c>
      <c r="D80" s="18" t="s">
        <v>13</v>
      </c>
      <c r="E80" s="18">
        <v>4</v>
      </c>
      <c r="G80" t="s">
        <v>52</v>
      </c>
      <c r="H80" s="18" t="s">
        <v>15</v>
      </c>
      <c r="I80" s="18" t="s">
        <v>21</v>
      </c>
      <c r="J80" s="4">
        <v>45406</v>
      </c>
      <c r="K80">
        <v>1651</v>
      </c>
      <c r="L80" t="s">
        <v>17</v>
      </c>
      <c r="M80" s="1">
        <v>0.1308</v>
      </c>
      <c r="N80" s="1">
        <v>0.2056</v>
      </c>
      <c r="O80" s="1">
        <v>35.479999999999997</v>
      </c>
      <c r="P80" s="19">
        <f t="shared" si="1"/>
        <v>3.5479999999999998E-2</v>
      </c>
    </row>
    <row r="81" spans="1:17" ht="15.75" customHeight="1" x14ac:dyDescent="0.35">
      <c r="A81">
        <v>78</v>
      </c>
      <c r="B81" s="2">
        <v>45475</v>
      </c>
      <c r="C81" t="s">
        <v>12</v>
      </c>
      <c r="D81" s="18" t="s">
        <v>45</v>
      </c>
      <c r="E81" s="18">
        <v>4</v>
      </c>
      <c r="G81" t="s">
        <v>52</v>
      </c>
      <c r="H81" s="18" t="s">
        <v>29</v>
      </c>
      <c r="I81" s="18" t="s">
        <v>21</v>
      </c>
      <c r="J81" s="4">
        <v>45406</v>
      </c>
      <c r="K81">
        <v>1651</v>
      </c>
      <c r="L81" t="s">
        <v>17</v>
      </c>
      <c r="M81" s="1">
        <v>0.12520000000000001</v>
      </c>
      <c r="N81" s="1">
        <v>6.2E-2</v>
      </c>
      <c r="O81" s="1">
        <v>27.28</v>
      </c>
      <c r="P81" s="19">
        <f t="shared" si="1"/>
        <v>2.7280000000000002E-2</v>
      </c>
    </row>
    <row r="82" spans="1:17" ht="15.75" customHeight="1" x14ac:dyDescent="0.35">
      <c r="A82">
        <v>80</v>
      </c>
      <c r="B82" s="2">
        <v>45475</v>
      </c>
      <c r="C82" t="s">
        <v>12</v>
      </c>
      <c r="D82" s="18" t="s">
        <v>26</v>
      </c>
      <c r="E82" s="18">
        <v>4</v>
      </c>
      <c r="G82" t="s">
        <v>52</v>
      </c>
      <c r="H82" s="18" t="s">
        <v>27</v>
      </c>
      <c r="I82" s="18" t="s">
        <v>16</v>
      </c>
      <c r="J82" s="4">
        <v>45406</v>
      </c>
      <c r="K82">
        <v>1651</v>
      </c>
      <c r="L82" t="s">
        <v>17</v>
      </c>
      <c r="M82" s="1">
        <v>3.1600000000000003E-2</v>
      </c>
      <c r="N82" s="1">
        <v>38.1</v>
      </c>
      <c r="O82" s="1">
        <v>28.2</v>
      </c>
      <c r="P82" s="19">
        <f t="shared" si="1"/>
        <v>2.8199999999999999E-2</v>
      </c>
    </row>
    <row r="83" spans="1:17" ht="15.75" customHeight="1" x14ac:dyDescent="0.35">
      <c r="A83">
        <v>81</v>
      </c>
      <c r="B83" s="2">
        <v>45475</v>
      </c>
      <c r="C83" t="s">
        <v>12</v>
      </c>
      <c r="D83" s="18" t="s">
        <v>26</v>
      </c>
      <c r="E83" s="18">
        <v>4</v>
      </c>
      <c r="G83" t="s">
        <v>52</v>
      </c>
      <c r="H83" s="18" t="s">
        <v>27</v>
      </c>
      <c r="I83" s="18" t="s">
        <v>21</v>
      </c>
      <c r="J83" s="4">
        <v>45406</v>
      </c>
      <c r="K83">
        <v>1651</v>
      </c>
      <c r="L83" t="s">
        <v>17</v>
      </c>
      <c r="M83" s="1">
        <v>3.2099999999999997E-2</v>
      </c>
      <c r="N83" s="1">
        <v>42</v>
      </c>
      <c r="O83" s="1">
        <v>35.6</v>
      </c>
      <c r="P83" s="19">
        <f t="shared" si="1"/>
        <v>3.56E-2</v>
      </c>
    </row>
    <row r="84" spans="1:17" ht="15.75" customHeight="1" x14ac:dyDescent="0.35">
      <c r="A84">
        <v>75</v>
      </c>
      <c r="B84" s="2">
        <v>45475</v>
      </c>
      <c r="C84" t="s">
        <v>12</v>
      </c>
      <c r="D84" s="18" t="s">
        <v>18</v>
      </c>
      <c r="E84" s="18">
        <v>4</v>
      </c>
      <c r="G84" t="s">
        <v>52</v>
      </c>
      <c r="H84" s="18" t="s">
        <v>20</v>
      </c>
      <c r="I84" s="18" t="s">
        <v>21</v>
      </c>
      <c r="J84" s="4">
        <v>45406</v>
      </c>
      <c r="K84">
        <v>1651</v>
      </c>
      <c r="L84" t="s">
        <v>17</v>
      </c>
      <c r="M84" s="1">
        <v>7.0599999999999996E-2</v>
      </c>
      <c r="N84" s="1">
        <v>0.1196</v>
      </c>
      <c r="O84" s="1">
        <v>22.4</v>
      </c>
      <c r="P84" s="19">
        <f t="shared" si="1"/>
        <v>2.24E-2</v>
      </c>
    </row>
    <row r="85" spans="1:17" ht="15.75" customHeight="1" x14ac:dyDescent="0.35">
      <c r="A85">
        <v>76</v>
      </c>
      <c r="B85" s="2">
        <v>45475</v>
      </c>
      <c r="C85" t="s">
        <v>12</v>
      </c>
      <c r="D85" s="18" t="s">
        <v>18</v>
      </c>
      <c r="E85" s="18">
        <v>4</v>
      </c>
      <c r="G85" t="s">
        <v>52</v>
      </c>
      <c r="H85" s="18" t="s">
        <v>20</v>
      </c>
      <c r="I85" s="18" t="s">
        <v>16</v>
      </c>
      <c r="J85" s="4">
        <v>45406</v>
      </c>
      <c r="K85">
        <v>1651</v>
      </c>
      <c r="L85" t="s">
        <v>17</v>
      </c>
      <c r="M85" s="1">
        <v>3.5000000000000003E-2</v>
      </c>
      <c r="N85" s="1">
        <v>5.9799999999999999E-2</v>
      </c>
      <c r="O85" s="1">
        <v>17</v>
      </c>
      <c r="P85" s="19">
        <f t="shared" si="1"/>
        <v>1.7000000000000001E-2</v>
      </c>
    </row>
    <row r="86" spans="1:17" ht="15.75" customHeight="1" x14ac:dyDescent="0.35">
      <c r="A86">
        <v>52</v>
      </c>
      <c r="B86" s="2">
        <v>45475</v>
      </c>
      <c r="C86" t="s">
        <v>12</v>
      </c>
      <c r="D86" s="18" t="s">
        <v>24</v>
      </c>
      <c r="E86" s="18">
        <v>4</v>
      </c>
      <c r="G86" t="s">
        <v>52</v>
      </c>
      <c r="H86" s="18" t="s">
        <v>25</v>
      </c>
      <c r="I86" s="18" t="s">
        <v>21</v>
      </c>
      <c r="J86" s="4">
        <v>45406</v>
      </c>
      <c r="K86">
        <v>1651</v>
      </c>
      <c r="L86" t="s">
        <v>17</v>
      </c>
      <c r="M86" s="1">
        <v>1.47E-2</v>
      </c>
      <c r="N86" s="1">
        <v>3.36</v>
      </c>
      <c r="O86" s="1">
        <v>404</v>
      </c>
      <c r="P86" s="19">
        <f t="shared" si="1"/>
        <v>0.40400000000000003</v>
      </c>
    </row>
    <row r="87" spans="1:17" ht="15.75" customHeight="1" x14ac:dyDescent="0.35">
      <c r="A87">
        <v>79</v>
      </c>
      <c r="B87" s="2">
        <v>45475</v>
      </c>
      <c r="C87" t="s">
        <v>12</v>
      </c>
      <c r="D87" s="18" t="s">
        <v>24</v>
      </c>
      <c r="E87" s="18">
        <v>4</v>
      </c>
      <c r="G87" t="s">
        <v>52</v>
      </c>
      <c r="H87" s="18" t="s">
        <v>25</v>
      </c>
      <c r="I87" s="18" t="s">
        <v>16</v>
      </c>
      <c r="J87" s="4">
        <v>45406</v>
      </c>
      <c r="K87">
        <v>1651</v>
      </c>
      <c r="L87" t="s">
        <v>17</v>
      </c>
      <c r="M87" s="1">
        <v>3.15E-2</v>
      </c>
      <c r="N87" s="1">
        <v>21.5</v>
      </c>
      <c r="O87" s="1">
        <v>18</v>
      </c>
      <c r="P87" s="19">
        <f t="shared" si="1"/>
        <v>1.8000000000000002E-2</v>
      </c>
    </row>
    <row r="88" spans="1:17" ht="15.75" customHeight="1" x14ac:dyDescent="0.35">
      <c r="A88">
        <v>77</v>
      </c>
      <c r="B88" s="2">
        <v>45475</v>
      </c>
      <c r="C88" t="s">
        <v>12</v>
      </c>
      <c r="D88" s="18" t="s">
        <v>22</v>
      </c>
      <c r="E88" s="18">
        <v>4</v>
      </c>
      <c r="G88" t="s">
        <v>52</v>
      </c>
      <c r="H88" s="18" t="s">
        <v>23</v>
      </c>
      <c r="I88" s="18" t="s">
        <v>21</v>
      </c>
      <c r="J88" s="4">
        <v>45406</v>
      </c>
      <c r="K88">
        <v>1651</v>
      </c>
      <c r="L88" t="s">
        <v>17</v>
      </c>
      <c r="M88" s="1">
        <v>0.1308</v>
      </c>
      <c r="N88" s="1">
        <v>7.5200000000000003E-2</v>
      </c>
      <c r="O88" s="1">
        <v>34.96</v>
      </c>
      <c r="P88" s="19">
        <f t="shared" si="1"/>
        <v>3.4960000000000005E-2</v>
      </c>
    </row>
    <row r="89" spans="1:17" ht="15.75" customHeight="1" x14ac:dyDescent="0.35">
      <c r="A89">
        <v>116</v>
      </c>
      <c r="B89" s="2">
        <v>45475</v>
      </c>
      <c r="C89" t="s">
        <v>12</v>
      </c>
      <c r="D89" s="18" t="s">
        <v>34</v>
      </c>
      <c r="E89" s="18">
        <v>1</v>
      </c>
      <c r="G89" t="s">
        <v>52</v>
      </c>
      <c r="H89" s="18" t="s">
        <v>15</v>
      </c>
      <c r="I89" s="18" t="s">
        <v>21</v>
      </c>
      <c r="J89" s="4">
        <v>45412</v>
      </c>
      <c r="K89">
        <v>1652</v>
      </c>
      <c r="L89" t="s">
        <v>17</v>
      </c>
      <c r="M89" s="7">
        <v>3.2099999999999997E-2</v>
      </c>
      <c r="N89" s="9">
        <v>8.0699999999999994E-2</v>
      </c>
      <c r="O89" s="6">
        <v>13.2</v>
      </c>
      <c r="P89" s="19">
        <f t="shared" si="1"/>
        <v>1.32E-2</v>
      </c>
    </row>
    <row r="90" spans="1:17" ht="15.75" customHeight="1" x14ac:dyDescent="0.35">
      <c r="A90">
        <v>117</v>
      </c>
      <c r="B90" s="2">
        <v>45475</v>
      </c>
      <c r="C90" t="s">
        <v>12</v>
      </c>
      <c r="D90" s="18" t="s">
        <v>34</v>
      </c>
      <c r="E90" s="18">
        <v>1</v>
      </c>
      <c r="G90" t="s">
        <v>52</v>
      </c>
      <c r="H90" s="18" t="s">
        <v>15</v>
      </c>
      <c r="I90" s="18" t="s">
        <v>16</v>
      </c>
      <c r="J90" s="4">
        <v>45412</v>
      </c>
      <c r="K90">
        <v>1652</v>
      </c>
      <c r="L90" t="s">
        <v>17</v>
      </c>
      <c r="M90" s="7">
        <v>3.1E-2</v>
      </c>
      <c r="N90" s="9">
        <v>1.91</v>
      </c>
      <c r="O90" s="6">
        <v>7.9</v>
      </c>
      <c r="P90" s="19">
        <f t="shared" si="1"/>
        <v>7.9000000000000008E-3</v>
      </c>
    </row>
    <row r="91" spans="1:17" ht="15.75" customHeight="1" x14ac:dyDescent="0.35">
      <c r="A91">
        <v>121</v>
      </c>
      <c r="B91" s="2">
        <v>45475</v>
      </c>
      <c r="C91" t="s">
        <v>12</v>
      </c>
      <c r="D91" s="18" t="s">
        <v>37</v>
      </c>
      <c r="E91" s="18">
        <v>1</v>
      </c>
      <c r="G91" t="s">
        <v>52</v>
      </c>
      <c r="H91" s="18" t="s">
        <v>29</v>
      </c>
      <c r="I91" s="18" t="s">
        <v>21</v>
      </c>
      <c r="J91" s="4">
        <v>45412</v>
      </c>
      <c r="K91">
        <v>1652</v>
      </c>
      <c r="L91" t="s">
        <v>17</v>
      </c>
      <c r="M91" s="7">
        <v>0.126</v>
      </c>
      <c r="N91" s="9">
        <v>0.1804</v>
      </c>
      <c r="O91" s="6">
        <v>25.76</v>
      </c>
      <c r="P91" s="19">
        <f t="shared" si="1"/>
        <v>2.5760000000000002E-2</v>
      </c>
    </row>
    <row r="92" spans="1:17" ht="15.75" customHeight="1" x14ac:dyDescent="0.35">
      <c r="A92">
        <v>122</v>
      </c>
      <c r="B92" s="2">
        <v>45475</v>
      </c>
      <c r="C92" t="s">
        <v>12</v>
      </c>
      <c r="D92" s="18" t="s">
        <v>37</v>
      </c>
      <c r="E92" s="18">
        <v>1</v>
      </c>
      <c r="G92" t="s">
        <v>52</v>
      </c>
      <c r="H92" s="18" t="s">
        <v>29</v>
      </c>
      <c r="I92" s="18" t="s">
        <v>16</v>
      </c>
      <c r="J92" s="4">
        <v>45412</v>
      </c>
      <c r="K92">
        <v>1652</v>
      </c>
      <c r="L92" t="s">
        <v>17</v>
      </c>
      <c r="M92" s="7">
        <v>3.2599999999999997E-2</v>
      </c>
      <c r="N92" s="9">
        <v>0.129</v>
      </c>
      <c r="O92" s="6">
        <v>7.11</v>
      </c>
      <c r="P92" s="19">
        <f t="shared" si="1"/>
        <v>7.1100000000000009E-3</v>
      </c>
    </row>
    <row r="93" spans="1:17" ht="15.75" customHeight="1" x14ac:dyDescent="0.35">
      <c r="A93">
        <v>124</v>
      </c>
      <c r="B93" s="2">
        <v>45475</v>
      </c>
      <c r="C93" t="s">
        <v>12</v>
      </c>
      <c r="D93" s="18" t="s">
        <v>39</v>
      </c>
      <c r="E93" s="18">
        <v>1</v>
      </c>
      <c r="G93" t="s">
        <v>52</v>
      </c>
      <c r="H93" s="18" t="s">
        <v>27</v>
      </c>
      <c r="I93" s="18" t="s">
        <v>16</v>
      </c>
      <c r="J93" s="4">
        <v>45412</v>
      </c>
      <c r="K93">
        <v>1652</v>
      </c>
      <c r="L93" t="s">
        <v>17</v>
      </c>
      <c r="M93" s="7">
        <v>3.1800000000000002E-2</v>
      </c>
      <c r="N93" s="9">
        <v>35.5</v>
      </c>
      <c r="O93" s="6">
        <v>8.75</v>
      </c>
      <c r="P93" s="19">
        <f t="shared" si="1"/>
        <v>8.7500000000000008E-3</v>
      </c>
      <c r="Q93" s="1"/>
    </row>
    <row r="94" spans="1:17" ht="15.75" customHeight="1" x14ac:dyDescent="0.35">
      <c r="A94">
        <v>125</v>
      </c>
      <c r="B94" s="2">
        <v>45475</v>
      </c>
      <c r="C94" t="s">
        <v>12</v>
      </c>
      <c r="D94" s="18" t="s">
        <v>39</v>
      </c>
      <c r="E94" s="18">
        <v>1</v>
      </c>
      <c r="G94" t="s">
        <v>52</v>
      </c>
      <c r="H94" s="18" t="s">
        <v>27</v>
      </c>
      <c r="I94" s="18" t="s">
        <v>21</v>
      </c>
      <c r="J94" s="4">
        <v>45412</v>
      </c>
      <c r="K94">
        <v>1652</v>
      </c>
      <c r="L94" t="s">
        <v>17</v>
      </c>
      <c r="M94" s="7">
        <v>7.2999999999999995E-2</v>
      </c>
      <c r="N94" s="9">
        <v>6.98</v>
      </c>
      <c r="O94" s="6">
        <v>19.18</v>
      </c>
      <c r="P94" s="19">
        <f t="shared" si="1"/>
        <v>1.9179999999999999E-2</v>
      </c>
      <c r="Q94" s="1"/>
    </row>
    <row r="95" spans="1:17" ht="15.75" customHeight="1" x14ac:dyDescent="0.35">
      <c r="A95">
        <v>118</v>
      </c>
      <c r="B95" s="2">
        <v>45475</v>
      </c>
      <c r="C95" t="s">
        <v>12</v>
      </c>
      <c r="D95" s="18" t="s">
        <v>35</v>
      </c>
      <c r="E95" s="18">
        <v>1</v>
      </c>
      <c r="G95" t="s">
        <v>52</v>
      </c>
      <c r="H95" s="18" t="s">
        <v>20</v>
      </c>
      <c r="I95" s="18" t="s">
        <v>21</v>
      </c>
      <c r="J95" s="4">
        <v>45412</v>
      </c>
      <c r="K95">
        <v>1652</v>
      </c>
      <c r="L95" t="s">
        <v>17</v>
      </c>
      <c r="M95" s="7">
        <v>3.15E-2</v>
      </c>
      <c r="N95" s="9">
        <v>4.0800000000000003E-2</v>
      </c>
      <c r="O95" s="6">
        <v>17</v>
      </c>
      <c r="P95" s="19">
        <f t="shared" si="1"/>
        <v>1.7000000000000001E-2</v>
      </c>
      <c r="Q95" s="1"/>
    </row>
    <row r="96" spans="1:17" ht="15.75" customHeight="1" x14ac:dyDescent="0.35">
      <c r="A96">
        <v>123</v>
      </c>
      <c r="B96" s="2">
        <v>45475</v>
      </c>
      <c r="C96" t="s">
        <v>12</v>
      </c>
      <c r="D96" s="18" t="s">
        <v>38</v>
      </c>
      <c r="E96" s="18">
        <v>1</v>
      </c>
      <c r="G96" t="s">
        <v>52</v>
      </c>
      <c r="H96" s="18" t="s">
        <v>25</v>
      </c>
      <c r="I96" s="18" t="s">
        <v>16</v>
      </c>
      <c r="J96" s="4">
        <v>45412</v>
      </c>
      <c r="K96">
        <v>1652</v>
      </c>
      <c r="L96" t="s">
        <v>17</v>
      </c>
      <c r="M96" s="7">
        <v>3.0599999999999999E-2</v>
      </c>
      <c r="N96" s="9">
        <v>0.38100000000000001</v>
      </c>
      <c r="O96" s="6">
        <v>8.6199999999999992</v>
      </c>
      <c r="P96" s="19">
        <f t="shared" si="1"/>
        <v>8.6199999999999992E-3</v>
      </c>
      <c r="Q96" s="1"/>
    </row>
    <row r="97" spans="1:17" ht="15.75" customHeight="1" x14ac:dyDescent="0.35">
      <c r="A97">
        <v>119</v>
      </c>
      <c r="B97" s="2">
        <v>45475</v>
      </c>
      <c r="C97" t="s">
        <v>12</v>
      </c>
      <c r="D97" s="18" t="s">
        <v>36</v>
      </c>
      <c r="E97" s="18">
        <v>1</v>
      </c>
      <c r="G97" t="s">
        <v>52</v>
      </c>
      <c r="H97" s="18" t="s">
        <v>23</v>
      </c>
      <c r="I97" s="18" t="s">
        <v>21</v>
      </c>
      <c r="J97" s="4">
        <v>45412</v>
      </c>
      <c r="K97">
        <v>1652</v>
      </c>
      <c r="L97" t="s">
        <v>17</v>
      </c>
      <c r="M97" s="7">
        <v>3.2500000000000001E-2</v>
      </c>
      <c r="N97" s="9">
        <v>2.7099999999999999E-2</v>
      </c>
      <c r="O97" s="6">
        <v>9.74</v>
      </c>
      <c r="P97" s="19">
        <f t="shared" si="1"/>
        <v>9.7400000000000004E-3</v>
      </c>
      <c r="Q97" s="1"/>
    </row>
    <row r="98" spans="1:17" ht="15.75" customHeight="1" x14ac:dyDescent="0.35">
      <c r="A98">
        <v>120</v>
      </c>
      <c r="B98" s="2">
        <v>45475</v>
      </c>
      <c r="C98" t="s">
        <v>12</v>
      </c>
      <c r="D98" s="18" t="s">
        <v>36</v>
      </c>
      <c r="E98" s="18">
        <v>1</v>
      </c>
      <c r="G98" t="s">
        <v>52</v>
      </c>
      <c r="H98" s="18" t="s">
        <v>23</v>
      </c>
      <c r="I98" s="18" t="s">
        <v>16</v>
      </c>
      <c r="J98" s="4">
        <v>45412</v>
      </c>
      <c r="K98">
        <v>1652</v>
      </c>
      <c r="L98" t="s">
        <v>17</v>
      </c>
      <c r="M98" s="7">
        <v>2.9100000000000001E-2</v>
      </c>
      <c r="N98" s="9">
        <v>6.13E-2</v>
      </c>
      <c r="O98" s="6">
        <v>9.4499999999999993</v>
      </c>
      <c r="P98" s="19">
        <f t="shared" si="1"/>
        <v>9.4500000000000001E-3</v>
      </c>
      <c r="Q98" s="1"/>
    </row>
    <row r="99" spans="1:17" ht="15.75" customHeight="1" x14ac:dyDescent="0.35">
      <c r="A99">
        <v>109</v>
      </c>
      <c r="B99" s="2">
        <v>45475</v>
      </c>
      <c r="C99" t="s">
        <v>12</v>
      </c>
      <c r="D99" s="18" t="s">
        <v>43</v>
      </c>
      <c r="E99" s="18">
        <v>2</v>
      </c>
      <c r="G99" t="s">
        <v>52</v>
      </c>
      <c r="H99" s="18" t="s">
        <v>15</v>
      </c>
      <c r="I99" s="18" t="s">
        <v>21</v>
      </c>
      <c r="J99" s="4">
        <v>45412</v>
      </c>
      <c r="K99">
        <v>1652</v>
      </c>
      <c r="L99" t="s">
        <v>17</v>
      </c>
      <c r="M99" s="7">
        <v>3.3300000000000003E-2</v>
      </c>
      <c r="N99" s="9">
        <v>8.9300000000000004E-2</v>
      </c>
      <c r="O99" s="6">
        <v>22.5</v>
      </c>
      <c r="P99" s="19">
        <f t="shared" si="1"/>
        <v>2.2499999999999999E-2</v>
      </c>
      <c r="Q99" s="1"/>
    </row>
    <row r="100" spans="1:17" ht="15.75" customHeight="1" x14ac:dyDescent="0.35">
      <c r="A100">
        <v>110</v>
      </c>
      <c r="B100" s="2">
        <v>45475</v>
      </c>
      <c r="C100" t="s">
        <v>12</v>
      </c>
      <c r="D100" s="18" t="s">
        <v>43</v>
      </c>
      <c r="E100" s="18">
        <v>2</v>
      </c>
      <c r="G100" t="s">
        <v>52</v>
      </c>
      <c r="H100" s="18" t="s">
        <v>15</v>
      </c>
      <c r="I100" s="18" t="s">
        <v>16</v>
      </c>
      <c r="J100" s="4">
        <v>45412</v>
      </c>
      <c r="K100">
        <v>1652</v>
      </c>
      <c r="L100" t="s">
        <v>17</v>
      </c>
      <c r="M100" s="7">
        <v>3.15E-2</v>
      </c>
      <c r="N100" s="9">
        <v>0.109</v>
      </c>
      <c r="O100" s="6">
        <v>14.6</v>
      </c>
      <c r="P100" s="19">
        <f t="shared" si="1"/>
        <v>1.46E-2</v>
      </c>
      <c r="Q100" s="1"/>
    </row>
    <row r="101" spans="1:17" ht="15.75" customHeight="1" x14ac:dyDescent="0.35">
      <c r="A101">
        <v>129</v>
      </c>
      <c r="B101" s="2">
        <v>45475</v>
      </c>
      <c r="C101" t="s">
        <v>12</v>
      </c>
      <c r="D101" s="18" t="s">
        <v>42</v>
      </c>
      <c r="E101" s="18">
        <v>2</v>
      </c>
      <c r="G101" t="s">
        <v>52</v>
      </c>
      <c r="H101" s="18" t="s">
        <v>29</v>
      </c>
      <c r="I101" s="18" t="s">
        <v>21</v>
      </c>
      <c r="J101" s="4">
        <v>45412</v>
      </c>
      <c r="K101">
        <v>1652</v>
      </c>
      <c r="L101" t="s">
        <v>17</v>
      </c>
      <c r="M101" s="7">
        <v>3.39E-2</v>
      </c>
      <c r="N101" s="9">
        <v>-1.77E-2</v>
      </c>
      <c r="O101" s="6">
        <v>42.5</v>
      </c>
      <c r="P101" s="19">
        <f t="shared" si="1"/>
        <v>4.2500000000000003E-2</v>
      </c>
      <c r="Q101" s="1"/>
    </row>
    <row r="102" spans="1:17" ht="15.75" customHeight="1" x14ac:dyDescent="0.35">
      <c r="A102">
        <v>106</v>
      </c>
      <c r="B102" s="2">
        <v>45475</v>
      </c>
      <c r="C102" t="s">
        <v>12</v>
      </c>
      <c r="D102" s="18" t="s">
        <v>41</v>
      </c>
      <c r="E102" s="18">
        <v>2</v>
      </c>
      <c r="G102" t="s">
        <v>52</v>
      </c>
      <c r="H102" s="18" t="s">
        <v>27</v>
      </c>
      <c r="I102" s="18" t="s">
        <v>16</v>
      </c>
      <c r="J102" s="4">
        <v>45412</v>
      </c>
      <c r="K102">
        <v>1652</v>
      </c>
      <c r="L102" t="s">
        <v>17</v>
      </c>
      <c r="M102" s="7">
        <v>3.1300000000000001E-2</v>
      </c>
      <c r="N102" s="9">
        <v>2.0299999999999998</v>
      </c>
      <c r="O102" s="6">
        <v>14.5</v>
      </c>
      <c r="P102" s="19">
        <f t="shared" si="1"/>
        <v>1.4500000000000001E-2</v>
      </c>
      <c r="Q102" s="1"/>
    </row>
    <row r="103" spans="1:17" ht="15.75" customHeight="1" x14ac:dyDescent="0.35">
      <c r="A103">
        <v>128</v>
      </c>
      <c r="B103" s="2">
        <v>45475</v>
      </c>
      <c r="C103" t="s">
        <v>12</v>
      </c>
      <c r="D103" s="18" t="s">
        <v>41</v>
      </c>
      <c r="E103" s="18">
        <v>2</v>
      </c>
      <c r="G103" t="s">
        <v>52</v>
      </c>
      <c r="H103" s="18" t="s">
        <v>27</v>
      </c>
      <c r="I103" s="18" t="s">
        <v>21</v>
      </c>
      <c r="J103" s="4">
        <v>45412</v>
      </c>
      <c r="K103">
        <v>1652</v>
      </c>
      <c r="L103" t="s">
        <v>17</v>
      </c>
      <c r="M103" s="7">
        <v>5.8999999999999997E-2</v>
      </c>
      <c r="N103" s="6">
        <v>10.08</v>
      </c>
      <c r="O103" s="6">
        <v>22</v>
      </c>
      <c r="P103" s="19">
        <f t="shared" si="1"/>
        <v>2.1999999999999999E-2</v>
      </c>
      <c r="Q103" s="1"/>
    </row>
    <row r="104" spans="1:17" ht="15.75" customHeight="1" x14ac:dyDescent="0.35">
      <c r="A104">
        <v>111</v>
      </c>
      <c r="B104" s="2">
        <v>45475</v>
      </c>
      <c r="C104" t="s">
        <v>12</v>
      </c>
      <c r="D104" s="18" t="s">
        <v>44</v>
      </c>
      <c r="E104" s="18">
        <v>2</v>
      </c>
      <c r="G104" t="s">
        <v>52</v>
      </c>
      <c r="H104" s="18" t="s">
        <v>20</v>
      </c>
      <c r="I104" s="18" t="s">
        <v>16</v>
      </c>
      <c r="J104" s="4">
        <v>45412</v>
      </c>
      <c r="K104">
        <v>1652</v>
      </c>
      <c r="L104" t="s">
        <v>17</v>
      </c>
      <c r="M104" s="7">
        <v>0.1336</v>
      </c>
      <c r="N104" s="9">
        <v>0.31840000000000002</v>
      </c>
      <c r="O104" s="6">
        <v>31</v>
      </c>
      <c r="P104" s="19">
        <f t="shared" si="1"/>
        <v>3.1E-2</v>
      </c>
      <c r="Q104" s="1"/>
    </row>
    <row r="105" spans="1:17" ht="15.75" customHeight="1" x14ac:dyDescent="0.35">
      <c r="A105">
        <v>112</v>
      </c>
      <c r="B105" s="2">
        <v>45475</v>
      </c>
      <c r="C105" t="s">
        <v>12</v>
      </c>
      <c r="D105" s="18" t="s">
        <v>44</v>
      </c>
      <c r="E105" s="18">
        <v>2</v>
      </c>
      <c r="G105" t="s">
        <v>52</v>
      </c>
      <c r="H105" s="18" t="s">
        <v>20</v>
      </c>
      <c r="I105" s="18" t="s">
        <v>21</v>
      </c>
      <c r="J105" s="4">
        <v>45412</v>
      </c>
      <c r="K105">
        <v>1652</v>
      </c>
      <c r="L105" t="s">
        <v>17</v>
      </c>
      <c r="M105" s="7">
        <v>3.3099999999999997E-2</v>
      </c>
      <c r="N105" s="9">
        <v>6.0400000000000002E-2</v>
      </c>
      <c r="O105" s="6">
        <v>20.7</v>
      </c>
      <c r="P105" s="19">
        <f t="shared" si="1"/>
        <v>2.07E-2</v>
      </c>
      <c r="Q105" s="1"/>
    </row>
    <row r="106" spans="1:17" ht="15.75" customHeight="1" x14ac:dyDescent="0.35">
      <c r="A106">
        <v>107</v>
      </c>
      <c r="B106" s="2">
        <v>45475</v>
      </c>
      <c r="C106" t="s">
        <v>12</v>
      </c>
      <c r="D106" s="18" t="s">
        <v>47</v>
      </c>
      <c r="E106" s="18">
        <v>2</v>
      </c>
      <c r="G106" t="s">
        <v>52</v>
      </c>
      <c r="H106" s="18" t="s">
        <v>25</v>
      </c>
      <c r="I106" s="18" t="s">
        <v>21</v>
      </c>
      <c r="J106" s="4">
        <v>45412</v>
      </c>
      <c r="K106">
        <v>1652</v>
      </c>
      <c r="L106" t="s">
        <v>17</v>
      </c>
      <c r="M106" s="7">
        <v>3.4599999999999999E-2</v>
      </c>
      <c r="N106" s="9">
        <v>-1.95E-2</v>
      </c>
      <c r="O106" s="6">
        <v>135</v>
      </c>
      <c r="P106" s="19">
        <f t="shared" si="1"/>
        <v>0.13500000000000001</v>
      </c>
      <c r="Q106" s="1"/>
    </row>
    <row r="107" spans="1:17" ht="15.75" customHeight="1" x14ac:dyDescent="0.35">
      <c r="A107">
        <v>108</v>
      </c>
      <c r="B107" s="2">
        <v>45475</v>
      </c>
      <c r="C107" t="s">
        <v>12</v>
      </c>
      <c r="D107" s="18" t="s">
        <v>47</v>
      </c>
      <c r="E107" s="18">
        <v>2</v>
      </c>
      <c r="G107" t="s">
        <v>52</v>
      </c>
      <c r="H107" s="18" t="s">
        <v>25</v>
      </c>
      <c r="I107" s="18" t="s">
        <v>16</v>
      </c>
      <c r="J107" s="4">
        <v>45412</v>
      </c>
      <c r="K107">
        <v>1652</v>
      </c>
      <c r="L107" t="s">
        <v>17</v>
      </c>
      <c r="M107" s="7">
        <v>4.2099999999999999E-2</v>
      </c>
      <c r="N107" s="9">
        <v>1.1000000000000001</v>
      </c>
      <c r="O107" s="6">
        <v>17.600000000000001</v>
      </c>
      <c r="P107" s="19">
        <f t="shared" si="1"/>
        <v>1.7600000000000001E-2</v>
      </c>
      <c r="Q107" s="1"/>
    </row>
    <row r="108" spans="1:17" ht="15.75" customHeight="1" x14ac:dyDescent="0.35">
      <c r="A108">
        <v>126</v>
      </c>
      <c r="B108" s="2">
        <v>45475</v>
      </c>
      <c r="C108" t="s">
        <v>12</v>
      </c>
      <c r="D108" s="18" t="s">
        <v>40</v>
      </c>
      <c r="E108" s="18">
        <v>2</v>
      </c>
      <c r="G108" t="s">
        <v>52</v>
      </c>
      <c r="H108" s="18" t="s">
        <v>23</v>
      </c>
      <c r="I108" s="18" t="s">
        <v>21</v>
      </c>
      <c r="J108" s="4">
        <v>45412</v>
      </c>
      <c r="K108">
        <v>1652</v>
      </c>
      <c r="L108" t="s">
        <v>17</v>
      </c>
      <c r="M108" s="7">
        <v>3.1E-2</v>
      </c>
      <c r="N108" s="9">
        <v>7.4899999999999994E-2</v>
      </c>
      <c r="O108" s="6">
        <v>12.8</v>
      </c>
      <c r="P108" s="19">
        <f t="shared" si="1"/>
        <v>1.2800000000000001E-2</v>
      </c>
      <c r="Q108" s="1"/>
    </row>
    <row r="109" spans="1:17" ht="15.75" customHeight="1" x14ac:dyDescent="0.35">
      <c r="A109">
        <v>127</v>
      </c>
      <c r="B109" s="2">
        <v>45475</v>
      </c>
      <c r="C109" t="s">
        <v>12</v>
      </c>
      <c r="D109" s="18" t="s">
        <v>40</v>
      </c>
      <c r="E109" s="18">
        <v>2</v>
      </c>
      <c r="G109" t="s">
        <v>52</v>
      </c>
      <c r="H109" s="18" t="s">
        <v>23</v>
      </c>
      <c r="I109" s="18" t="s">
        <v>16</v>
      </c>
      <c r="J109" s="4">
        <v>45412</v>
      </c>
      <c r="K109">
        <v>1652</v>
      </c>
      <c r="L109" t="s">
        <v>17</v>
      </c>
      <c r="M109" s="7">
        <v>3.73E-2</v>
      </c>
      <c r="N109" s="9">
        <v>1.04</v>
      </c>
      <c r="O109" s="6">
        <v>9.98</v>
      </c>
      <c r="P109" s="19">
        <f t="shared" si="1"/>
        <v>9.980000000000001E-3</v>
      </c>
    </row>
    <row r="110" spans="1:17" ht="15.75" customHeight="1" x14ac:dyDescent="0.35">
      <c r="A110">
        <v>104</v>
      </c>
      <c r="B110" s="2">
        <v>45475</v>
      </c>
      <c r="C110" t="s">
        <v>12</v>
      </c>
      <c r="D110" s="18" t="s">
        <v>32</v>
      </c>
      <c r="E110" s="18">
        <v>3</v>
      </c>
      <c r="G110" t="s">
        <v>52</v>
      </c>
      <c r="H110" s="18" t="s">
        <v>15</v>
      </c>
      <c r="I110" s="18" t="s">
        <v>16</v>
      </c>
      <c r="J110" s="4">
        <v>45412</v>
      </c>
      <c r="K110">
        <v>1652</v>
      </c>
      <c r="L110" t="s">
        <v>17</v>
      </c>
      <c r="M110" s="7">
        <v>3.9100000000000003E-2</v>
      </c>
      <c r="N110" s="6">
        <v>6.1400000000000003E-2</v>
      </c>
      <c r="O110" s="6">
        <v>68.900000000000006</v>
      </c>
      <c r="P110" s="19">
        <f t="shared" si="1"/>
        <v>6.8900000000000003E-2</v>
      </c>
    </row>
    <row r="111" spans="1:17" ht="15.75" customHeight="1" x14ac:dyDescent="0.35">
      <c r="A111">
        <v>105</v>
      </c>
      <c r="B111" s="2">
        <v>45475</v>
      </c>
      <c r="C111" t="s">
        <v>12</v>
      </c>
      <c r="D111" s="18" t="s">
        <v>32</v>
      </c>
      <c r="E111" s="18">
        <v>3</v>
      </c>
      <c r="G111" t="s">
        <v>52</v>
      </c>
      <c r="H111" s="18" t="s">
        <v>15</v>
      </c>
      <c r="I111" s="18" t="s">
        <v>21</v>
      </c>
      <c r="J111" s="4">
        <v>45412</v>
      </c>
      <c r="K111">
        <v>1652</v>
      </c>
      <c r="L111" t="s">
        <v>17</v>
      </c>
      <c r="M111" s="7">
        <v>3.1099999999999999E-2</v>
      </c>
      <c r="N111" s="9">
        <v>-1.4599999999999999E-3</v>
      </c>
      <c r="O111" s="6">
        <v>12.1</v>
      </c>
      <c r="P111" s="19">
        <f t="shared" si="1"/>
        <v>1.21E-2</v>
      </c>
    </row>
    <row r="112" spans="1:17" ht="15.75" customHeight="1" x14ac:dyDescent="0.35">
      <c r="A112">
        <v>97</v>
      </c>
      <c r="B112" s="2">
        <v>45475</v>
      </c>
      <c r="C112" t="s">
        <v>12</v>
      </c>
      <c r="D112" s="18" t="s">
        <v>28</v>
      </c>
      <c r="E112" s="18">
        <v>3</v>
      </c>
      <c r="G112" t="s">
        <v>52</v>
      </c>
      <c r="H112" s="18" t="s">
        <v>29</v>
      </c>
      <c r="I112" s="18" t="s">
        <v>16</v>
      </c>
      <c r="J112" s="4">
        <v>45412</v>
      </c>
      <c r="K112">
        <v>1652</v>
      </c>
      <c r="L112" t="s">
        <v>17</v>
      </c>
      <c r="M112" s="7">
        <v>3.9699999999999999E-2</v>
      </c>
      <c r="N112" s="9">
        <v>0.127</v>
      </c>
      <c r="O112" s="6">
        <v>49.1</v>
      </c>
      <c r="P112" s="19">
        <f t="shared" si="1"/>
        <v>4.9100000000000005E-2</v>
      </c>
    </row>
    <row r="113" spans="1:16" ht="15.75" customHeight="1" x14ac:dyDescent="0.35">
      <c r="A113">
        <v>98</v>
      </c>
      <c r="B113" s="2">
        <v>45475</v>
      </c>
      <c r="C113" t="s">
        <v>12</v>
      </c>
      <c r="D113" s="18" t="s">
        <v>28</v>
      </c>
      <c r="E113" s="18">
        <v>3</v>
      </c>
      <c r="G113" t="s">
        <v>52</v>
      </c>
      <c r="H113" s="18" t="s">
        <v>29</v>
      </c>
      <c r="I113" s="18" t="s">
        <v>21</v>
      </c>
      <c r="J113" s="4">
        <v>45412</v>
      </c>
      <c r="K113">
        <v>1652</v>
      </c>
      <c r="L113" t="s">
        <v>17</v>
      </c>
      <c r="M113" s="7">
        <v>3.7699999999999997E-2</v>
      </c>
      <c r="N113" s="9">
        <v>6.0400000000000002E-2</v>
      </c>
      <c r="O113" s="6">
        <v>38.299999999999997</v>
      </c>
      <c r="P113" s="19">
        <f t="shared" si="1"/>
        <v>3.8300000000000001E-2</v>
      </c>
    </row>
    <row r="114" spans="1:16" ht="15.75" customHeight="1" x14ac:dyDescent="0.35">
      <c r="A114">
        <v>99</v>
      </c>
      <c r="B114" s="2">
        <v>45475</v>
      </c>
      <c r="C114" t="s">
        <v>12</v>
      </c>
      <c r="D114" s="18" t="s">
        <v>30</v>
      </c>
      <c r="E114" s="18">
        <v>3</v>
      </c>
      <c r="G114" t="s">
        <v>52</v>
      </c>
      <c r="H114" s="18" t="s">
        <v>27</v>
      </c>
      <c r="I114" s="18" t="s">
        <v>16</v>
      </c>
      <c r="J114" s="4">
        <v>45412</v>
      </c>
      <c r="K114">
        <v>1652</v>
      </c>
      <c r="L114" t="s">
        <v>17</v>
      </c>
      <c r="M114" s="7">
        <v>3.3099999999999997E-2</v>
      </c>
      <c r="N114" s="9">
        <v>12.2</v>
      </c>
      <c r="O114" s="6">
        <v>10.7</v>
      </c>
      <c r="P114" s="19">
        <f t="shared" si="1"/>
        <v>1.0699999999999999E-2</v>
      </c>
    </row>
    <row r="115" spans="1:16" ht="15.75" customHeight="1" x14ac:dyDescent="0.35">
      <c r="A115">
        <v>114</v>
      </c>
      <c r="B115" s="2">
        <v>45475</v>
      </c>
      <c r="C115" t="s">
        <v>12</v>
      </c>
      <c r="D115" s="18" t="s">
        <v>33</v>
      </c>
      <c r="E115" s="18">
        <v>3</v>
      </c>
      <c r="G115" t="s">
        <v>52</v>
      </c>
      <c r="H115" s="18" t="s">
        <v>20</v>
      </c>
      <c r="I115" s="18" t="s">
        <v>16</v>
      </c>
      <c r="J115" s="4">
        <v>45412</v>
      </c>
      <c r="K115">
        <v>1652</v>
      </c>
      <c r="L115" t="s">
        <v>17</v>
      </c>
      <c r="M115" s="7">
        <v>3.2599999999999997E-2</v>
      </c>
      <c r="N115" s="9">
        <v>0.14599999999999999</v>
      </c>
      <c r="O115" s="6">
        <v>16.600000000000001</v>
      </c>
      <c r="P115" s="19">
        <f t="shared" si="1"/>
        <v>1.66E-2</v>
      </c>
    </row>
    <row r="116" spans="1:16" ht="15.75" customHeight="1" x14ac:dyDescent="0.35">
      <c r="A116">
        <v>115</v>
      </c>
      <c r="B116" s="2">
        <v>45475</v>
      </c>
      <c r="C116" t="s">
        <v>12</v>
      </c>
      <c r="D116" s="18" t="s">
        <v>33</v>
      </c>
      <c r="E116" s="18">
        <v>3</v>
      </c>
      <c r="G116" t="s">
        <v>52</v>
      </c>
      <c r="H116" s="18" t="s">
        <v>20</v>
      </c>
      <c r="I116" s="18" t="s">
        <v>21</v>
      </c>
      <c r="J116" s="4">
        <v>45412</v>
      </c>
      <c r="K116">
        <v>1652</v>
      </c>
      <c r="L116" t="s">
        <v>17</v>
      </c>
      <c r="M116" s="7">
        <v>3.2599999999999997E-2</v>
      </c>
      <c r="N116" s="9">
        <v>0.183</v>
      </c>
      <c r="O116" s="6">
        <v>27.5</v>
      </c>
      <c r="P116" s="19">
        <f t="shared" si="1"/>
        <v>2.75E-2</v>
      </c>
    </row>
    <row r="117" spans="1:16" ht="15.75" customHeight="1" x14ac:dyDescent="0.35">
      <c r="A117">
        <v>102</v>
      </c>
      <c r="B117" s="2">
        <v>45475</v>
      </c>
      <c r="C117" t="s">
        <v>12</v>
      </c>
      <c r="D117" s="18" t="s">
        <v>46</v>
      </c>
      <c r="E117" s="18">
        <v>3</v>
      </c>
      <c r="G117" t="s">
        <v>52</v>
      </c>
      <c r="H117" s="18" t="s">
        <v>25</v>
      </c>
      <c r="I117" s="18" t="s">
        <v>16</v>
      </c>
      <c r="J117" s="4">
        <v>45412</v>
      </c>
      <c r="K117">
        <v>1652</v>
      </c>
      <c r="L117" t="s">
        <v>17</v>
      </c>
      <c r="M117" s="7">
        <v>3.1E-2</v>
      </c>
      <c r="N117" s="9">
        <v>2.52</v>
      </c>
      <c r="O117" s="6">
        <v>15.9</v>
      </c>
      <c r="P117" s="19">
        <f t="shared" si="1"/>
        <v>1.5900000000000001E-2</v>
      </c>
    </row>
    <row r="118" spans="1:16" ht="15.75" customHeight="1" x14ac:dyDescent="0.35">
      <c r="A118">
        <v>103</v>
      </c>
      <c r="B118" s="2">
        <v>45475</v>
      </c>
      <c r="C118" t="s">
        <v>12</v>
      </c>
      <c r="D118" s="18" t="s">
        <v>46</v>
      </c>
      <c r="E118" s="18">
        <v>3</v>
      </c>
      <c r="G118" t="s">
        <v>52</v>
      </c>
      <c r="H118" s="18" t="s">
        <v>25</v>
      </c>
      <c r="I118" s="18" t="s">
        <v>21</v>
      </c>
      <c r="J118" s="4">
        <v>45412</v>
      </c>
      <c r="K118">
        <v>1652</v>
      </c>
      <c r="L118" t="s">
        <v>17</v>
      </c>
      <c r="M118" s="7">
        <v>3.0800000000000001E-2</v>
      </c>
      <c r="N118" s="9">
        <v>2.04</v>
      </c>
      <c r="O118" s="6">
        <v>20.5</v>
      </c>
      <c r="P118" s="19">
        <f t="shared" si="1"/>
        <v>2.0500000000000001E-2</v>
      </c>
    </row>
    <row r="119" spans="1:16" ht="15.75" customHeight="1" x14ac:dyDescent="0.35">
      <c r="A119">
        <v>100</v>
      </c>
      <c r="B119" s="2">
        <v>45475</v>
      </c>
      <c r="C119" t="s">
        <v>12</v>
      </c>
      <c r="D119" s="18" t="s">
        <v>31</v>
      </c>
      <c r="E119" s="18">
        <v>3</v>
      </c>
      <c r="G119" t="s">
        <v>52</v>
      </c>
      <c r="H119" s="18" t="s">
        <v>23</v>
      </c>
      <c r="I119" s="18" t="s">
        <v>21</v>
      </c>
      <c r="J119" s="4">
        <v>45412</v>
      </c>
      <c r="K119">
        <v>1652</v>
      </c>
      <c r="L119" t="s">
        <v>17</v>
      </c>
      <c r="M119" s="7">
        <v>3.1399999999999997E-2</v>
      </c>
      <c r="N119" s="9">
        <v>6.13E-2</v>
      </c>
      <c r="O119" s="6">
        <v>14.7</v>
      </c>
      <c r="P119" s="19">
        <f t="shared" si="1"/>
        <v>1.47E-2</v>
      </c>
    </row>
    <row r="120" spans="1:16" ht="15.75" customHeight="1" x14ac:dyDescent="0.35">
      <c r="A120">
        <v>101</v>
      </c>
      <c r="B120" s="2">
        <v>45475</v>
      </c>
      <c r="C120" t="s">
        <v>12</v>
      </c>
      <c r="D120" s="18" t="s">
        <v>31</v>
      </c>
      <c r="E120" s="18">
        <v>3</v>
      </c>
      <c r="G120" t="s">
        <v>52</v>
      </c>
      <c r="H120" s="18" t="s">
        <v>23</v>
      </c>
      <c r="I120" s="18" t="s">
        <v>16</v>
      </c>
      <c r="J120" s="4">
        <v>45412</v>
      </c>
      <c r="K120">
        <v>1652</v>
      </c>
      <c r="L120" t="s">
        <v>17</v>
      </c>
      <c r="M120" s="7">
        <v>3.5099999999999999E-2</v>
      </c>
      <c r="N120" s="9">
        <v>5.23</v>
      </c>
      <c r="O120" s="6">
        <v>9.49</v>
      </c>
      <c r="P120" s="19">
        <f t="shared" si="1"/>
        <v>9.4900000000000002E-3</v>
      </c>
    </row>
    <row r="121" spans="1:16" ht="15.75" customHeight="1" x14ac:dyDescent="0.35">
      <c r="A121">
        <v>88</v>
      </c>
      <c r="B121" s="2">
        <v>45475</v>
      </c>
      <c r="C121" t="s">
        <v>12</v>
      </c>
      <c r="D121" s="18" t="s">
        <v>13</v>
      </c>
      <c r="E121" s="18">
        <v>4</v>
      </c>
      <c r="G121" t="s">
        <v>52</v>
      </c>
      <c r="H121" s="18" t="s">
        <v>15</v>
      </c>
      <c r="I121" s="18" t="s">
        <v>16</v>
      </c>
      <c r="J121" s="4">
        <v>45412</v>
      </c>
      <c r="K121">
        <v>1652</v>
      </c>
      <c r="L121" t="s">
        <v>17</v>
      </c>
      <c r="M121" s="1">
        <v>3.4000000000000002E-2</v>
      </c>
      <c r="N121" s="1">
        <v>5.6300000000000003E-2</v>
      </c>
      <c r="O121" s="1">
        <v>10.3</v>
      </c>
      <c r="P121" s="19">
        <f t="shared" si="1"/>
        <v>1.03E-2</v>
      </c>
    </row>
    <row r="122" spans="1:16" ht="15.75" customHeight="1" x14ac:dyDescent="0.35">
      <c r="A122">
        <v>89</v>
      </c>
      <c r="B122" s="2">
        <v>45475</v>
      </c>
      <c r="C122" t="s">
        <v>12</v>
      </c>
      <c r="D122" s="18" t="s">
        <v>13</v>
      </c>
      <c r="E122" s="18">
        <v>4</v>
      </c>
      <c r="G122" t="s">
        <v>52</v>
      </c>
      <c r="H122" s="18" t="s">
        <v>15</v>
      </c>
      <c r="I122" s="18" t="s">
        <v>21</v>
      </c>
      <c r="J122" s="4">
        <v>45412</v>
      </c>
      <c r="K122">
        <v>1652</v>
      </c>
      <c r="L122" t="s">
        <v>17</v>
      </c>
      <c r="M122" s="17">
        <v>3.2300000000000002E-2</v>
      </c>
      <c r="N122" s="17">
        <v>6.0499999999999998E-2</v>
      </c>
      <c r="O122" s="17">
        <v>14.6</v>
      </c>
      <c r="P122" s="19">
        <f t="shared" si="1"/>
        <v>1.46E-2</v>
      </c>
    </row>
    <row r="123" spans="1:16" ht="15.75" customHeight="1" x14ac:dyDescent="0.35">
      <c r="A123">
        <v>92</v>
      </c>
      <c r="B123" s="2">
        <v>45475</v>
      </c>
      <c r="C123" t="s">
        <v>12</v>
      </c>
      <c r="D123" s="18" t="s">
        <v>45</v>
      </c>
      <c r="E123" s="18">
        <v>4</v>
      </c>
      <c r="G123" t="s">
        <v>52</v>
      </c>
      <c r="H123" s="18" t="s">
        <v>29</v>
      </c>
      <c r="I123" s="18" t="s">
        <v>21</v>
      </c>
      <c r="J123" s="4">
        <v>45412</v>
      </c>
      <c r="K123">
        <v>1652</v>
      </c>
      <c r="L123" t="s">
        <v>17</v>
      </c>
      <c r="M123" s="7">
        <v>3.2099999999999997E-2</v>
      </c>
      <c r="N123" s="9">
        <v>6.9199999999999998E-2</v>
      </c>
      <c r="O123" s="6">
        <v>10.6</v>
      </c>
      <c r="P123" s="19">
        <f t="shared" si="1"/>
        <v>1.06E-2</v>
      </c>
    </row>
    <row r="124" spans="1:16" ht="15.75" customHeight="1" x14ac:dyDescent="0.35">
      <c r="A124">
        <v>95</v>
      </c>
      <c r="B124" s="2">
        <v>45475</v>
      </c>
      <c r="C124" t="s">
        <v>12</v>
      </c>
      <c r="D124" s="18" t="s">
        <v>26</v>
      </c>
      <c r="E124" s="18">
        <v>4</v>
      </c>
      <c r="G124" t="s">
        <v>52</v>
      </c>
      <c r="H124" s="18" t="s">
        <v>27</v>
      </c>
      <c r="I124" s="18" t="s">
        <v>21</v>
      </c>
      <c r="J124" s="4">
        <v>45412</v>
      </c>
      <c r="K124">
        <v>1652</v>
      </c>
      <c r="L124" t="s">
        <v>17</v>
      </c>
      <c r="M124" s="7">
        <v>3.1399999999999997E-2</v>
      </c>
      <c r="N124" s="9">
        <v>75.099999999999994</v>
      </c>
      <c r="O124" s="6">
        <v>33.799999999999997</v>
      </c>
      <c r="P124" s="19">
        <f t="shared" si="1"/>
        <v>3.3799999999999997E-2</v>
      </c>
    </row>
    <row r="125" spans="1:16" ht="15.75" customHeight="1" x14ac:dyDescent="0.35">
      <c r="A125">
        <v>96</v>
      </c>
      <c r="B125" s="2">
        <v>45475</v>
      </c>
      <c r="C125" t="s">
        <v>12</v>
      </c>
      <c r="D125" s="18" t="s">
        <v>26</v>
      </c>
      <c r="E125" s="18">
        <v>4</v>
      </c>
      <c r="G125" t="s">
        <v>52</v>
      </c>
      <c r="H125" s="18" t="s">
        <v>27</v>
      </c>
      <c r="I125" s="18" t="s">
        <v>16</v>
      </c>
      <c r="J125" s="4">
        <v>45412</v>
      </c>
      <c r="K125">
        <v>1652</v>
      </c>
      <c r="L125" t="s">
        <v>17</v>
      </c>
      <c r="M125" s="7">
        <v>3.09E-2</v>
      </c>
      <c r="N125" s="9">
        <v>58.9</v>
      </c>
      <c r="O125" s="6">
        <v>10.199999999999999</v>
      </c>
      <c r="P125" s="19">
        <f t="shared" si="1"/>
        <v>1.0199999999999999E-2</v>
      </c>
    </row>
    <row r="126" spans="1:16" ht="15.75" customHeight="1" x14ac:dyDescent="0.35">
      <c r="A126">
        <v>90</v>
      </c>
      <c r="B126" s="2">
        <v>45475</v>
      </c>
      <c r="C126" t="s">
        <v>12</v>
      </c>
      <c r="D126" s="18" t="s">
        <v>18</v>
      </c>
      <c r="E126" s="18">
        <v>4</v>
      </c>
      <c r="G126" t="s">
        <v>52</v>
      </c>
      <c r="H126" s="18" t="s">
        <v>20</v>
      </c>
      <c r="I126" s="18" t="s">
        <v>21</v>
      </c>
      <c r="J126" s="4">
        <v>45412</v>
      </c>
      <c r="K126">
        <v>1652</v>
      </c>
      <c r="L126" t="s">
        <v>17</v>
      </c>
      <c r="M126" s="7">
        <v>6.3E-2</v>
      </c>
      <c r="N126" s="6">
        <v>0.12559999999999999</v>
      </c>
      <c r="O126" s="6">
        <v>17.84</v>
      </c>
      <c r="P126" s="19">
        <f t="shared" si="1"/>
        <v>1.7840000000000002E-2</v>
      </c>
    </row>
    <row r="127" spans="1:16" ht="15.75" customHeight="1" x14ac:dyDescent="0.35">
      <c r="A127">
        <v>91</v>
      </c>
      <c r="B127" s="2">
        <v>45475</v>
      </c>
      <c r="C127" t="s">
        <v>12</v>
      </c>
      <c r="D127" s="18" t="s">
        <v>18</v>
      </c>
      <c r="E127" s="18">
        <v>4</v>
      </c>
      <c r="G127" t="s">
        <v>52</v>
      </c>
      <c r="H127" s="18" t="s">
        <v>20</v>
      </c>
      <c r="I127" s="18" t="s">
        <v>16</v>
      </c>
      <c r="J127" s="4">
        <v>45412</v>
      </c>
      <c r="K127">
        <v>1652</v>
      </c>
      <c r="L127" t="s">
        <v>17</v>
      </c>
      <c r="M127" s="7">
        <v>3.4200000000000001E-2</v>
      </c>
      <c r="N127" s="9">
        <v>6.9599999999999995E-2</v>
      </c>
      <c r="O127" s="6">
        <v>12.2</v>
      </c>
      <c r="P127" s="19">
        <f t="shared" si="1"/>
        <v>1.2199999999999999E-2</v>
      </c>
    </row>
    <row r="128" spans="1:16" ht="15.75" customHeight="1" x14ac:dyDescent="0.35">
      <c r="A128">
        <v>93</v>
      </c>
      <c r="B128" s="2">
        <v>45475</v>
      </c>
      <c r="C128" t="s">
        <v>12</v>
      </c>
      <c r="D128" s="18" t="s">
        <v>24</v>
      </c>
      <c r="E128" s="18">
        <v>4</v>
      </c>
      <c r="G128" t="s">
        <v>52</v>
      </c>
      <c r="H128" s="18" t="s">
        <v>25</v>
      </c>
      <c r="I128" s="18" t="s">
        <v>21</v>
      </c>
      <c r="J128" s="4">
        <v>45412</v>
      </c>
      <c r="K128">
        <v>1652</v>
      </c>
      <c r="L128" t="s">
        <v>17</v>
      </c>
      <c r="M128" s="7">
        <v>3.2099999999999997E-2</v>
      </c>
      <c r="N128" s="9">
        <v>7.05</v>
      </c>
      <c r="O128" s="6">
        <v>306</v>
      </c>
      <c r="P128" s="19">
        <f t="shared" si="1"/>
        <v>0.30599999999999999</v>
      </c>
    </row>
    <row r="129" spans="1:16" ht="15.75" customHeight="1" x14ac:dyDescent="0.35">
      <c r="A129">
        <v>94</v>
      </c>
      <c r="B129" s="2">
        <v>45475</v>
      </c>
      <c r="C129" t="s">
        <v>12</v>
      </c>
      <c r="D129" s="18" t="s">
        <v>24</v>
      </c>
      <c r="E129" s="18">
        <v>4</v>
      </c>
      <c r="G129" t="s">
        <v>52</v>
      </c>
      <c r="H129" s="18" t="s">
        <v>25</v>
      </c>
      <c r="I129" s="18" t="s">
        <v>16</v>
      </c>
      <c r="J129" s="4">
        <v>45412</v>
      </c>
      <c r="K129">
        <v>1652</v>
      </c>
      <c r="L129" t="s">
        <v>17</v>
      </c>
      <c r="M129" s="7">
        <v>3.2199999999999999E-2</v>
      </c>
      <c r="N129" s="9">
        <v>17.600000000000001</v>
      </c>
      <c r="O129" s="6">
        <v>8.4499999999999993</v>
      </c>
      <c r="P129" s="19">
        <f t="shared" si="1"/>
        <v>8.4499999999999992E-3</v>
      </c>
    </row>
    <row r="130" spans="1:16" ht="15.75" customHeight="1" x14ac:dyDescent="0.35">
      <c r="A130">
        <v>113</v>
      </c>
      <c r="B130" s="2">
        <v>45475</v>
      </c>
      <c r="C130" t="s">
        <v>12</v>
      </c>
      <c r="D130" s="18" t="s">
        <v>22</v>
      </c>
      <c r="E130" s="18">
        <v>4</v>
      </c>
      <c r="G130" t="s">
        <v>52</v>
      </c>
      <c r="H130" s="18" t="s">
        <v>23</v>
      </c>
      <c r="I130" s="18" t="s">
        <v>21</v>
      </c>
      <c r="J130" s="4">
        <v>45412</v>
      </c>
      <c r="K130">
        <v>1652</v>
      </c>
      <c r="L130" t="s">
        <v>17</v>
      </c>
      <c r="M130" s="7">
        <v>3.2599999999999997E-2</v>
      </c>
      <c r="N130" s="9">
        <v>0.123</v>
      </c>
      <c r="O130" s="6">
        <v>17.5</v>
      </c>
      <c r="P130" s="19">
        <f t="shared" si="1"/>
        <v>1.7500000000000002E-2</v>
      </c>
    </row>
    <row r="131" spans="1:16" ht="15.75" customHeight="1" x14ac:dyDescent="0.35">
      <c r="A131">
        <v>177</v>
      </c>
      <c r="B131" s="2">
        <v>45497</v>
      </c>
      <c r="C131" t="s">
        <v>12</v>
      </c>
      <c r="D131" s="18" t="s">
        <v>39</v>
      </c>
      <c r="E131" s="18">
        <v>1</v>
      </c>
      <c r="F131" t="s">
        <v>48</v>
      </c>
      <c r="G131" t="s">
        <v>53</v>
      </c>
      <c r="H131" s="18" t="s">
        <v>15</v>
      </c>
      <c r="I131" s="18" t="s">
        <v>21</v>
      </c>
      <c r="J131" s="4">
        <v>45384</v>
      </c>
      <c r="K131">
        <v>1658</v>
      </c>
      <c r="L131" s="1"/>
      <c r="M131" s="8">
        <v>2.5999999999999999E-2</v>
      </c>
      <c r="N131" s="8">
        <v>1.96</v>
      </c>
      <c r="O131" s="8">
        <v>8.75</v>
      </c>
      <c r="P131" s="19">
        <f t="shared" ref="P131:P194" si="2">O131*0.001</f>
        <v>8.7500000000000008E-3</v>
      </c>
    </row>
    <row r="132" spans="1:16" ht="15.75" customHeight="1" x14ac:dyDescent="0.35">
      <c r="A132">
        <v>178</v>
      </c>
      <c r="B132" s="2">
        <v>45497</v>
      </c>
      <c r="C132" t="s">
        <v>12</v>
      </c>
      <c r="D132" s="18" t="s">
        <v>39</v>
      </c>
      <c r="E132" s="18">
        <v>1</v>
      </c>
      <c r="F132" t="s">
        <v>21</v>
      </c>
      <c r="G132" t="s">
        <v>53</v>
      </c>
      <c r="H132" s="18" t="s">
        <v>15</v>
      </c>
      <c r="I132" s="18" t="s">
        <v>16</v>
      </c>
      <c r="J132" s="4">
        <v>45384</v>
      </c>
      <c r="K132">
        <v>1658</v>
      </c>
      <c r="L132" s="1"/>
      <c r="M132" s="8">
        <v>3.7400000000000003E-2</v>
      </c>
      <c r="N132" s="8">
        <v>2.34</v>
      </c>
      <c r="O132" s="8">
        <v>13.7</v>
      </c>
      <c r="P132" s="19">
        <f t="shared" si="2"/>
        <v>1.37E-2</v>
      </c>
    </row>
    <row r="133" spans="1:16" ht="15.75" customHeight="1" x14ac:dyDescent="0.35">
      <c r="A133">
        <v>175</v>
      </c>
      <c r="B133" s="2">
        <v>45497</v>
      </c>
      <c r="C133" t="s">
        <v>12</v>
      </c>
      <c r="D133" s="18" t="s">
        <v>38</v>
      </c>
      <c r="E133" s="18">
        <v>1</v>
      </c>
      <c r="F133" t="s">
        <v>48</v>
      </c>
      <c r="G133" t="s">
        <v>53</v>
      </c>
      <c r="H133" s="18" t="s">
        <v>29</v>
      </c>
      <c r="I133" s="18" t="s">
        <v>21</v>
      </c>
      <c r="J133" s="4">
        <v>45384</v>
      </c>
      <c r="K133">
        <v>1658</v>
      </c>
      <c r="L133" s="1"/>
      <c r="M133" s="8">
        <v>5.5E-2</v>
      </c>
      <c r="N133" s="8">
        <v>0.86</v>
      </c>
      <c r="O133" s="8">
        <v>18.600000000000001</v>
      </c>
      <c r="P133" s="19">
        <f t="shared" si="2"/>
        <v>1.8600000000000002E-2</v>
      </c>
    </row>
    <row r="134" spans="1:16" ht="15.75" customHeight="1" x14ac:dyDescent="0.35">
      <c r="A134">
        <v>176</v>
      </c>
      <c r="B134" s="2">
        <v>45497</v>
      </c>
      <c r="C134" t="s">
        <v>12</v>
      </c>
      <c r="D134" s="18" t="s">
        <v>38</v>
      </c>
      <c r="E134" s="18">
        <v>1</v>
      </c>
      <c r="F134" t="s">
        <v>21</v>
      </c>
      <c r="G134" t="s">
        <v>53</v>
      </c>
      <c r="H134" s="18" t="s">
        <v>29</v>
      </c>
      <c r="I134" s="18" t="s">
        <v>16</v>
      </c>
      <c r="J134" s="4">
        <v>45384</v>
      </c>
      <c r="K134">
        <v>1658</v>
      </c>
      <c r="L134" s="1"/>
      <c r="M134" s="8">
        <v>2.93E-2</v>
      </c>
      <c r="N134" s="8">
        <v>8.91</v>
      </c>
      <c r="O134" s="8">
        <v>9.99</v>
      </c>
      <c r="P134" s="19">
        <f t="shared" si="2"/>
        <v>9.9900000000000006E-3</v>
      </c>
    </row>
    <row r="135" spans="1:16" ht="15.75" customHeight="1" x14ac:dyDescent="0.35">
      <c r="A135">
        <v>167</v>
      </c>
      <c r="B135" s="2">
        <v>45497</v>
      </c>
      <c r="C135" t="s">
        <v>12</v>
      </c>
      <c r="D135" s="18" t="s">
        <v>34</v>
      </c>
      <c r="E135" s="18">
        <v>1</v>
      </c>
      <c r="F135" t="s">
        <v>48</v>
      </c>
      <c r="G135" t="s">
        <v>53</v>
      </c>
      <c r="H135" s="18" t="s">
        <v>27</v>
      </c>
      <c r="I135" s="18" t="s">
        <v>21</v>
      </c>
      <c r="J135" s="4">
        <v>45384</v>
      </c>
      <c r="K135">
        <v>1658</v>
      </c>
      <c r="L135" s="1"/>
      <c r="M135" s="8">
        <v>8.2400000000000001E-2</v>
      </c>
      <c r="N135" s="8">
        <v>5.97</v>
      </c>
      <c r="O135" s="8">
        <v>20.2</v>
      </c>
      <c r="P135" s="19">
        <f t="shared" si="2"/>
        <v>2.0199999999999999E-2</v>
      </c>
    </row>
    <row r="136" spans="1:16" ht="15.75" customHeight="1" x14ac:dyDescent="0.35">
      <c r="A136">
        <v>168</v>
      </c>
      <c r="B136" s="2">
        <v>45497</v>
      </c>
      <c r="C136" t="s">
        <v>12</v>
      </c>
      <c r="D136" s="18" t="s">
        <v>34</v>
      </c>
      <c r="E136" s="18">
        <v>1</v>
      </c>
      <c r="F136" t="s">
        <v>21</v>
      </c>
      <c r="G136" t="s">
        <v>53</v>
      </c>
      <c r="H136" s="18" t="s">
        <v>27</v>
      </c>
      <c r="I136" s="18" t="s">
        <v>16</v>
      </c>
      <c r="J136" s="4">
        <v>45384</v>
      </c>
      <c r="K136">
        <v>1658</v>
      </c>
      <c r="L136" s="1"/>
      <c r="M136" s="8">
        <v>0.1118</v>
      </c>
      <c r="N136" s="8">
        <v>13.36</v>
      </c>
      <c r="O136" s="8">
        <v>11.08</v>
      </c>
      <c r="P136" s="19">
        <f t="shared" si="2"/>
        <v>1.108E-2</v>
      </c>
    </row>
    <row r="137" spans="1:16" ht="15.75" customHeight="1" x14ac:dyDescent="0.35">
      <c r="A137">
        <v>171</v>
      </c>
      <c r="B137" s="2">
        <v>45497</v>
      </c>
      <c r="C137" t="s">
        <v>12</v>
      </c>
      <c r="D137" s="18" t="s">
        <v>36</v>
      </c>
      <c r="E137" s="18">
        <v>1</v>
      </c>
      <c r="F137" t="s">
        <v>48</v>
      </c>
      <c r="G137" t="s">
        <v>53</v>
      </c>
      <c r="H137" s="18" t="s">
        <v>49</v>
      </c>
      <c r="I137" s="18" t="s">
        <v>21</v>
      </c>
      <c r="J137" s="4">
        <v>45384</v>
      </c>
      <c r="K137">
        <v>1658</v>
      </c>
      <c r="L137" s="1"/>
      <c r="M137" s="8">
        <v>2.7199999999999998E-2</v>
      </c>
      <c r="N137" s="8">
        <v>4.58</v>
      </c>
      <c r="O137" s="8">
        <v>10.4</v>
      </c>
      <c r="P137" s="19">
        <f t="shared" si="2"/>
        <v>1.0400000000000001E-2</v>
      </c>
    </row>
    <row r="138" spans="1:16" ht="15.75" customHeight="1" x14ac:dyDescent="0.35">
      <c r="A138">
        <v>172</v>
      </c>
      <c r="B138" s="2">
        <v>45497</v>
      </c>
      <c r="C138" t="s">
        <v>12</v>
      </c>
      <c r="D138" s="18" t="s">
        <v>36</v>
      </c>
      <c r="E138" s="18">
        <v>1</v>
      </c>
      <c r="F138" t="s">
        <v>21</v>
      </c>
      <c r="G138" t="s">
        <v>53</v>
      </c>
      <c r="H138" s="18" t="s">
        <v>49</v>
      </c>
      <c r="I138" s="18" t="s">
        <v>16</v>
      </c>
      <c r="J138" s="4">
        <v>45384</v>
      </c>
      <c r="K138">
        <v>1658</v>
      </c>
      <c r="L138" s="1"/>
      <c r="M138" s="8">
        <v>5.5399999999999998E-2</v>
      </c>
      <c r="N138" s="8">
        <v>15.74</v>
      </c>
      <c r="O138" s="8">
        <v>12.7</v>
      </c>
      <c r="P138" s="19">
        <f t="shared" si="2"/>
        <v>1.2699999999999999E-2</v>
      </c>
    </row>
    <row r="139" spans="1:16" ht="15.75" customHeight="1" x14ac:dyDescent="0.35">
      <c r="A139">
        <v>173</v>
      </c>
      <c r="B139" s="2">
        <v>45497</v>
      </c>
      <c r="C139" t="s">
        <v>12</v>
      </c>
      <c r="D139" s="18" t="s">
        <v>37</v>
      </c>
      <c r="E139" s="18">
        <v>1</v>
      </c>
      <c r="F139" t="s">
        <v>48</v>
      </c>
      <c r="G139" t="s">
        <v>53</v>
      </c>
      <c r="H139" s="18" t="s">
        <v>20</v>
      </c>
      <c r="I139" s="18" t="s">
        <v>21</v>
      </c>
      <c r="J139" s="4">
        <v>45384</v>
      </c>
      <c r="K139">
        <v>1658</v>
      </c>
      <c r="L139" s="1"/>
      <c r="M139" s="8">
        <v>3.0499999999999999E-2</v>
      </c>
      <c r="N139" s="8">
        <v>4.79</v>
      </c>
      <c r="O139" s="8">
        <v>7.25</v>
      </c>
      <c r="P139" s="19">
        <f t="shared" si="2"/>
        <v>7.2500000000000004E-3</v>
      </c>
    </row>
    <row r="140" spans="1:16" ht="15.75" customHeight="1" x14ac:dyDescent="0.35">
      <c r="A140">
        <v>174</v>
      </c>
      <c r="B140" s="2">
        <v>45497</v>
      </c>
      <c r="C140" t="s">
        <v>12</v>
      </c>
      <c r="D140" s="18" t="s">
        <v>37</v>
      </c>
      <c r="E140" s="18">
        <v>1</v>
      </c>
      <c r="F140" t="s">
        <v>21</v>
      </c>
      <c r="G140" t="s">
        <v>53</v>
      </c>
      <c r="H140" s="18" t="s">
        <v>20</v>
      </c>
      <c r="I140" s="18" t="s">
        <v>16</v>
      </c>
      <c r="J140" s="4">
        <v>45384</v>
      </c>
      <c r="K140">
        <v>1658</v>
      </c>
      <c r="L140" s="1"/>
      <c r="M140" s="8">
        <v>2.98E-2</v>
      </c>
      <c r="N140" s="8">
        <v>5.01</v>
      </c>
      <c r="O140" s="8">
        <v>13.9</v>
      </c>
      <c r="P140" s="19">
        <f t="shared" si="2"/>
        <v>1.3900000000000001E-2</v>
      </c>
    </row>
    <row r="141" spans="1:16" ht="15.75" customHeight="1" x14ac:dyDescent="0.35">
      <c r="A141">
        <v>169</v>
      </c>
      <c r="B141" s="2">
        <v>45497</v>
      </c>
      <c r="C141" t="s">
        <v>12</v>
      </c>
      <c r="D141" s="18" t="s">
        <v>35</v>
      </c>
      <c r="E141" s="18">
        <v>1</v>
      </c>
      <c r="F141" t="s">
        <v>48</v>
      </c>
      <c r="G141" t="s">
        <v>53</v>
      </c>
      <c r="H141" s="18" t="s">
        <v>25</v>
      </c>
      <c r="I141" s="18" t="s">
        <v>21</v>
      </c>
      <c r="J141" s="4">
        <v>45384</v>
      </c>
      <c r="K141">
        <v>1658</v>
      </c>
      <c r="L141" s="1"/>
      <c r="M141" s="8">
        <v>0.121</v>
      </c>
      <c r="N141" s="8">
        <v>10.9</v>
      </c>
      <c r="O141" s="8">
        <v>13.7</v>
      </c>
      <c r="P141" s="19">
        <f t="shared" si="2"/>
        <v>1.37E-2</v>
      </c>
    </row>
    <row r="142" spans="1:16" ht="15.75" customHeight="1" x14ac:dyDescent="0.35">
      <c r="A142">
        <v>170</v>
      </c>
      <c r="B142" s="2">
        <v>45497</v>
      </c>
      <c r="C142" t="s">
        <v>12</v>
      </c>
      <c r="D142" s="18" t="s">
        <v>35</v>
      </c>
      <c r="E142" s="18">
        <v>1</v>
      </c>
      <c r="F142" t="s">
        <v>21</v>
      </c>
      <c r="G142" t="s">
        <v>53</v>
      </c>
      <c r="H142" s="18" t="s">
        <v>25</v>
      </c>
      <c r="I142" s="18" t="s">
        <v>16</v>
      </c>
      <c r="J142" s="4">
        <v>45384</v>
      </c>
      <c r="K142">
        <v>1658</v>
      </c>
      <c r="L142" s="1"/>
      <c r="M142" s="8">
        <v>7.8899999999999998E-2</v>
      </c>
      <c r="N142" s="8">
        <v>4</v>
      </c>
      <c r="O142" s="8">
        <v>19.100000000000001</v>
      </c>
      <c r="P142" s="19">
        <f t="shared" si="2"/>
        <v>1.9100000000000002E-2</v>
      </c>
    </row>
    <row r="143" spans="1:16" ht="15.75" customHeight="1" x14ac:dyDescent="0.35">
      <c r="A143">
        <v>188</v>
      </c>
      <c r="B143" s="2">
        <v>45497</v>
      </c>
      <c r="C143" t="s">
        <v>12</v>
      </c>
      <c r="D143" s="18" t="s">
        <v>44</v>
      </c>
      <c r="E143" s="18">
        <v>2</v>
      </c>
      <c r="F143" t="s">
        <v>21</v>
      </c>
      <c r="G143" t="s">
        <v>53</v>
      </c>
      <c r="H143" s="18" t="s">
        <v>15</v>
      </c>
      <c r="I143" s="18" t="s">
        <v>16</v>
      </c>
      <c r="J143" s="4">
        <v>45384</v>
      </c>
      <c r="K143">
        <v>1658</v>
      </c>
      <c r="L143" s="1"/>
      <c r="M143" s="7">
        <v>4.0500000000000001E-2</v>
      </c>
      <c r="N143" s="9">
        <v>3.55</v>
      </c>
      <c r="O143" s="6">
        <v>18.600000000000001</v>
      </c>
      <c r="P143" s="19">
        <f t="shared" si="2"/>
        <v>1.8600000000000002E-2</v>
      </c>
    </row>
    <row r="144" spans="1:16" ht="15.75" customHeight="1" x14ac:dyDescent="0.35">
      <c r="A144">
        <v>181</v>
      </c>
      <c r="B144" s="2">
        <v>45497</v>
      </c>
      <c r="C144" t="s">
        <v>12</v>
      </c>
      <c r="D144" s="18" t="s">
        <v>41</v>
      </c>
      <c r="E144" s="18">
        <v>2</v>
      </c>
      <c r="F144" t="s">
        <v>48</v>
      </c>
      <c r="G144" t="s">
        <v>53</v>
      </c>
      <c r="H144" s="18" t="s">
        <v>29</v>
      </c>
      <c r="I144" s="18" t="s">
        <v>21</v>
      </c>
      <c r="J144" s="4">
        <v>45384</v>
      </c>
      <c r="K144">
        <v>1658</v>
      </c>
      <c r="L144" s="1"/>
      <c r="M144" s="8">
        <v>3.1199999999999999E-2</v>
      </c>
      <c r="N144" s="8">
        <v>0.871</v>
      </c>
      <c r="O144" s="8">
        <v>18.600000000000001</v>
      </c>
      <c r="P144" s="19">
        <f t="shared" si="2"/>
        <v>1.8600000000000002E-2</v>
      </c>
    </row>
    <row r="145" spans="1:16" ht="15.75" customHeight="1" x14ac:dyDescent="0.35">
      <c r="A145">
        <v>182</v>
      </c>
      <c r="B145" s="2">
        <v>45497</v>
      </c>
      <c r="C145" t="s">
        <v>12</v>
      </c>
      <c r="D145" s="18" t="s">
        <v>41</v>
      </c>
      <c r="E145" s="18">
        <v>2</v>
      </c>
      <c r="F145" t="s">
        <v>21</v>
      </c>
      <c r="G145" t="s">
        <v>53</v>
      </c>
      <c r="H145" s="18" t="s">
        <v>29</v>
      </c>
      <c r="I145" s="18" t="s">
        <v>16</v>
      </c>
      <c r="J145" s="4">
        <v>45384</v>
      </c>
      <c r="K145">
        <v>1658</v>
      </c>
      <c r="L145" s="1"/>
      <c r="M145" s="8">
        <v>2.3699999999999999E-2</v>
      </c>
      <c r="N145" s="8">
        <v>12.6</v>
      </c>
      <c r="O145" s="8">
        <v>10.6</v>
      </c>
      <c r="P145" s="19">
        <f t="shared" si="2"/>
        <v>1.06E-2</v>
      </c>
    </row>
    <row r="146" spans="1:16" ht="15.75" customHeight="1" x14ac:dyDescent="0.35">
      <c r="A146">
        <v>186</v>
      </c>
      <c r="B146" s="2">
        <v>45497</v>
      </c>
      <c r="C146" t="s">
        <v>12</v>
      </c>
      <c r="D146" s="18" t="s">
        <v>43</v>
      </c>
      <c r="E146" s="18">
        <v>2</v>
      </c>
      <c r="F146" t="s">
        <v>48</v>
      </c>
      <c r="G146" t="s">
        <v>53</v>
      </c>
      <c r="H146" s="18" t="s">
        <v>27</v>
      </c>
      <c r="I146" s="18" t="s">
        <v>21</v>
      </c>
      <c r="J146" s="4">
        <v>45384</v>
      </c>
      <c r="K146">
        <v>1658</v>
      </c>
      <c r="L146" s="1"/>
      <c r="M146" s="8">
        <v>2.3300000000000001E-2</v>
      </c>
      <c r="N146" s="8">
        <v>11.7</v>
      </c>
      <c r="O146" s="8">
        <v>13.6</v>
      </c>
      <c r="P146" s="19">
        <f t="shared" si="2"/>
        <v>1.3599999999999999E-2</v>
      </c>
    </row>
    <row r="147" spans="1:16" ht="15.75" customHeight="1" x14ac:dyDescent="0.35">
      <c r="A147">
        <v>187</v>
      </c>
      <c r="B147" s="2">
        <v>45497</v>
      </c>
      <c r="C147" t="s">
        <v>12</v>
      </c>
      <c r="D147" s="18" t="s">
        <v>43</v>
      </c>
      <c r="E147" s="18">
        <v>2</v>
      </c>
      <c r="F147" t="s">
        <v>21</v>
      </c>
      <c r="G147" t="s">
        <v>53</v>
      </c>
      <c r="H147" s="18" t="s">
        <v>27</v>
      </c>
      <c r="I147" s="18" t="s">
        <v>16</v>
      </c>
      <c r="J147" s="4">
        <v>45384</v>
      </c>
      <c r="K147">
        <v>1658</v>
      </c>
      <c r="L147" s="1"/>
      <c r="M147" s="7">
        <v>4.0599999999999997E-2</v>
      </c>
      <c r="N147" s="6">
        <v>5.85</v>
      </c>
      <c r="O147" s="6">
        <v>51.8</v>
      </c>
      <c r="P147" s="19">
        <f t="shared" si="2"/>
        <v>5.1799999999999999E-2</v>
      </c>
    </row>
    <row r="148" spans="1:16" ht="15.75" customHeight="1" x14ac:dyDescent="0.35">
      <c r="A148">
        <v>179</v>
      </c>
      <c r="B148" s="2">
        <v>45497</v>
      </c>
      <c r="C148" t="s">
        <v>12</v>
      </c>
      <c r="D148" s="18" t="s">
        <v>40</v>
      </c>
      <c r="E148" s="18">
        <v>2</v>
      </c>
      <c r="F148" t="s">
        <v>48</v>
      </c>
      <c r="G148" t="s">
        <v>53</v>
      </c>
      <c r="H148" s="18" t="s">
        <v>49</v>
      </c>
      <c r="I148" s="18" t="s">
        <v>21</v>
      </c>
      <c r="J148" s="4">
        <v>45384</v>
      </c>
      <c r="K148">
        <v>1658</v>
      </c>
      <c r="L148" s="1"/>
      <c r="M148" s="8">
        <v>2.2200000000000001E-2</v>
      </c>
      <c r="N148" s="8">
        <v>4.41</v>
      </c>
      <c r="O148" s="8">
        <v>12.2</v>
      </c>
      <c r="P148" s="19">
        <f t="shared" si="2"/>
        <v>1.2199999999999999E-2</v>
      </c>
    </row>
    <row r="149" spans="1:16" ht="15.75" customHeight="1" x14ac:dyDescent="0.35">
      <c r="A149">
        <v>180</v>
      </c>
      <c r="B149" s="2">
        <v>45497</v>
      </c>
      <c r="C149" t="s">
        <v>12</v>
      </c>
      <c r="D149" s="18" t="s">
        <v>40</v>
      </c>
      <c r="E149" s="18">
        <v>2</v>
      </c>
      <c r="F149" t="s">
        <v>21</v>
      </c>
      <c r="G149" t="s">
        <v>53</v>
      </c>
      <c r="H149" s="18" t="s">
        <v>49</v>
      </c>
      <c r="I149" s="18" t="s">
        <v>16</v>
      </c>
      <c r="J149" s="4">
        <v>45384</v>
      </c>
      <c r="K149">
        <v>1658</v>
      </c>
      <c r="L149" s="1"/>
      <c r="M149" s="8">
        <v>2.52E-2</v>
      </c>
      <c r="N149" s="8">
        <v>6.61</v>
      </c>
      <c r="O149" s="8">
        <v>9.4700000000000006</v>
      </c>
      <c r="P149" s="19">
        <f t="shared" si="2"/>
        <v>9.470000000000001E-3</v>
      </c>
    </row>
    <row r="150" spans="1:16" ht="15.75" customHeight="1" x14ac:dyDescent="0.35">
      <c r="A150">
        <v>184</v>
      </c>
      <c r="B150" s="2">
        <v>45497</v>
      </c>
      <c r="C150" t="s">
        <v>12</v>
      </c>
      <c r="D150" s="18" t="s">
        <v>47</v>
      </c>
      <c r="E150" s="18">
        <v>2</v>
      </c>
      <c r="F150" t="s">
        <v>48</v>
      </c>
      <c r="G150" t="s">
        <v>53</v>
      </c>
      <c r="H150" s="18" t="s">
        <v>20</v>
      </c>
      <c r="I150" s="18" t="s">
        <v>21</v>
      </c>
      <c r="J150" s="4">
        <v>45384</v>
      </c>
      <c r="K150">
        <v>1658</v>
      </c>
      <c r="L150" s="1"/>
      <c r="M150" s="8">
        <v>2.53E-2</v>
      </c>
      <c r="N150" s="8">
        <v>2.82</v>
      </c>
      <c r="O150" s="8">
        <v>13</v>
      </c>
      <c r="P150" s="19">
        <f t="shared" si="2"/>
        <v>1.3000000000000001E-2</v>
      </c>
    </row>
    <row r="151" spans="1:16" ht="15.75" customHeight="1" x14ac:dyDescent="0.35">
      <c r="A151">
        <v>185</v>
      </c>
      <c r="B151" s="2">
        <v>45497</v>
      </c>
      <c r="C151" t="s">
        <v>12</v>
      </c>
      <c r="D151" s="18" t="s">
        <v>47</v>
      </c>
      <c r="E151" s="18">
        <v>2</v>
      </c>
      <c r="F151" t="s">
        <v>21</v>
      </c>
      <c r="G151" t="s">
        <v>53</v>
      </c>
      <c r="H151" s="18" t="s">
        <v>20</v>
      </c>
      <c r="I151" s="18" t="s">
        <v>16</v>
      </c>
      <c r="J151" s="4">
        <v>45384</v>
      </c>
      <c r="K151">
        <v>1658</v>
      </c>
      <c r="L151" s="1"/>
      <c r="M151" s="8">
        <v>2.58E-2</v>
      </c>
      <c r="N151" s="8">
        <v>18.2</v>
      </c>
      <c r="O151" s="8">
        <v>24.4</v>
      </c>
      <c r="P151" s="19">
        <f t="shared" si="2"/>
        <v>2.4399999999999998E-2</v>
      </c>
    </row>
    <row r="152" spans="1:16" ht="15.75" customHeight="1" x14ac:dyDescent="0.35">
      <c r="A152">
        <v>183</v>
      </c>
      <c r="B152" s="2">
        <v>45497</v>
      </c>
      <c r="C152" t="s">
        <v>12</v>
      </c>
      <c r="D152" s="18" t="s">
        <v>42</v>
      </c>
      <c r="E152" s="18">
        <v>2</v>
      </c>
      <c r="F152" t="s">
        <v>21</v>
      </c>
      <c r="G152" t="s">
        <v>53</v>
      </c>
      <c r="H152" s="18" t="s">
        <v>25</v>
      </c>
      <c r="I152" s="18" t="s">
        <v>16</v>
      </c>
      <c r="J152" s="4">
        <v>45384</v>
      </c>
      <c r="K152">
        <v>1658</v>
      </c>
      <c r="L152" s="1"/>
      <c r="M152" s="8">
        <v>3.4099999999999998E-2</v>
      </c>
      <c r="N152" s="8">
        <v>10.199999999999999</v>
      </c>
      <c r="O152" s="8">
        <v>14.6</v>
      </c>
      <c r="P152" s="19">
        <f t="shared" si="2"/>
        <v>1.46E-2</v>
      </c>
    </row>
    <row r="153" spans="1:16" ht="15.75" customHeight="1" x14ac:dyDescent="0.35">
      <c r="A153">
        <v>149</v>
      </c>
      <c r="B153" s="2">
        <v>45497</v>
      </c>
      <c r="C153" t="s">
        <v>12</v>
      </c>
      <c r="D153" s="18" t="s">
        <v>22</v>
      </c>
      <c r="E153" s="18">
        <v>3</v>
      </c>
      <c r="F153" t="s">
        <v>48</v>
      </c>
      <c r="G153" t="s">
        <v>53</v>
      </c>
      <c r="H153" s="18" t="s">
        <v>15</v>
      </c>
      <c r="I153" s="18" t="s">
        <v>21</v>
      </c>
      <c r="J153" s="4">
        <v>45384</v>
      </c>
      <c r="K153">
        <v>1658</v>
      </c>
      <c r="L153" s="1"/>
      <c r="M153" s="7">
        <v>2.76E-2</v>
      </c>
      <c r="N153" s="6">
        <v>3.07</v>
      </c>
      <c r="O153" s="6">
        <v>19.7</v>
      </c>
      <c r="P153" s="19">
        <f t="shared" si="2"/>
        <v>1.9699999999999999E-2</v>
      </c>
    </row>
    <row r="154" spans="1:16" ht="15.75" customHeight="1" x14ac:dyDescent="0.35">
      <c r="A154">
        <v>150</v>
      </c>
      <c r="B154" s="2">
        <v>45497</v>
      </c>
      <c r="C154" t="s">
        <v>12</v>
      </c>
      <c r="D154" s="18" t="s">
        <v>22</v>
      </c>
      <c r="E154" s="18">
        <v>3</v>
      </c>
      <c r="F154" t="s">
        <v>21</v>
      </c>
      <c r="G154" t="s">
        <v>53</v>
      </c>
      <c r="H154" s="18" t="s">
        <v>15</v>
      </c>
      <c r="I154" s="18" t="s">
        <v>16</v>
      </c>
      <c r="J154" s="4">
        <v>45384</v>
      </c>
      <c r="K154">
        <v>1658</v>
      </c>
      <c r="L154" s="1"/>
      <c r="M154" s="8">
        <v>0.03</v>
      </c>
      <c r="N154" s="8">
        <v>6.87</v>
      </c>
      <c r="O154" s="8">
        <v>13.2</v>
      </c>
      <c r="P154" s="19">
        <f t="shared" si="2"/>
        <v>1.32E-2</v>
      </c>
    </row>
    <row r="155" spans="1:16" ht="15.75" customHeight="1" x14ac:dyDescent="0.35">
      <c r="A155">
        <v>151</v>
      </c>
      <c r="B155" s="2">
        <v>45497</v>
      </c>
      <c r="C155" t="s">
        <v>12</v>
      </c>
      <c r="D155" s="18" t="s">
        <v>45</v>
      </c>
      <c r="E155" s="18">
        <v>3</v>
      </c>
      <c r="F155" t="s">
        <v>48</v>
      </c>
      <c r="G155" t="s">
        <v>53</v>
      </c>
      <c r="H155" s="18" t="s">
        <v>29</v>
      </c>
      <c r="I155" s="18" t="s">
        <v>21</v>
      </c>
      <c r="J155" s="4">
        <v>45384</v>
      </c>
      <c r="K155">
        <v>1658</v>
      </c>
      <c r="L155" s="1"/>
      <c r="M155" s="7">
        <v>2.5399999999999999E-2</v>
      </c>
      <c r="N155" s="9">
        <v>0.28499999999999998</v>
      </c>
      <c r="O155" s="6">
        <v>8.5399999999999991</v>
      </c>
      <c r="P155" s="19">
        <f t="shared" si="2"/>
        <v>8.539999999999999E-3</v>
      </c>
    </row>
    <row r="156" spans="1:16" ht="15.75" customHeight="1" x14ac:dyDescent="0.35">
      <c r="A156">
        <v>152</v>
      </c>
      <c r="B156" s="2">
        <v>45497</v>
      </c>
      <c r="C156" t="s">
        <v>12</v>
      </c>
      <c r="D156" s="18" t="s">
        <v>24</v>
      </c>
      <c r="E156" s="18">
        <v>3</v>
      </c>
      <c r="F156" t="s">
        <v>48</v>
      </c>
      <c r="G156" t="s">
        <v>53</v>
      </c>
      <c r="H156" s="18" t="s">
        <v>27</v>
      </c>
      <c r="I156" s="18" t="s">
        <v>21</v>
      </c>
      <c r="J156" s="4">
        <v>45384</v>
      </c>
      <c r="K156">
        <v>1658</v>
      </c>
      <c r="L156" s="1"/>
      <c r="M156" s="7">
        <v>0.27039999999999997</v>
      </c>
      <c r="N156" s="9">
        <v>7.5759999999999996</v>
      </c>
      <c r="O156" s="6">
        <v>80</v>
      </c>
      <c r="P156" s="19">
        <f t="shared" si="2"/>
        <v>0.08</v>
      </c>
    </row>
    <row r="157" spans="1:16" ht="15.75" customHeight="1" x14ac:dyDescent="0.35">
      <c r="A157">
        <v>147</v>
      </c>
      <c r="B157" s="2">
        <v>45497</v>
      </c>
      <c r="C157" t="s">
        <v>12</v>
      </c>
      <c r="D157" s="18" t="s">
        <v>18</v>
      </c>
      <c r="E157" s="18">
        <v>3</v>
      </c>
      <c r="F157" t="s">
        <v>48</v>
      </c>
      <c r="G157" t="s">
        <v>53</v>
      </c>
      <c r="H157" s="18" t="s">
        <v>49</v>
      </c>
      <c r="I157" s="18" t="s">
        <v>21</v>
      </c>
      <c r="J157" s="4">
        <v>45384</v>
      </c>
      <c r="K157">
        <v>1658</v>
      </c>
      <c r="L157" s="1"/>
      <c r="M157" s="7">
        <v>2.3900000000000001E-2</v>
      </c>
      <c r="N157" s="9">
        <v>2.54</v>
      </c>
      <c r="O157" s="6">
        <v>15</v>
      </c>
      <c r="P157" s="19">
        <f t="shared" si="2"/>
        <v>1.4999999999999999E-2</v>
      </c>
    </row>
    <row r="158" spans="1:16" ht="15.75" customHeight="1" x14ac:dyDescent="0.35">
      <c r="A158">
        <v>148</v>
      </c>
      <c r="B158" s="2">
        <v>45497</v>
      </c>
      <c r="C158" t="s">
        <v>12</v>
      </c>
      <c r="D158" s="18" t="s">
        <v>18</v>
      </c>
      <c r="E158" s="18">
        <v>3</v>
      </c>
      <c r="F158" t="s">
        <v>21</v>
      </c>
      <c r="G158" t="s">
        <v>53</v>
      </c>
      <c r="H158" s="18" t="s">
        <v>49</v>
      </c>
      <c r="I158" s="18" t="s">
        <v>16</v>
      </c>
      <c r="J158" s="4">
        <v>45384</v>
      </c>
      <c r="K158">
        <v>1658</v>
      </c>
      <c r="L158" s="1"/>
      <c r="M158" s="7">
        <v>0.1236</v>
      </c>
      <c r="N158" s="9">
        <v>7.54</v>
      </c>
      <c r="O158" s="6">
        <v>14.48</v>
      </c>
      <c r="P158" s="19">
        <f t="shared" si="2"/>
        <v>1.4480000000000002E-2</v>
      </c>
    </row>
    <row r="159" spans="1:16" ht="15.75" customHeight="1" x14ac:dyDescent="0.35">
      <c r="A159">
        <v>145</v>
      </c>
      <c r="B159" s="2">
        <v>45497</v>
      </c>
      <c r="C159" t="s">
        <v>12</v>
      </c>
      <c r="D159" s="18" t="s">
        <v>13</v>
      </c>
      <c r="E159" s="18">
        <v>3</v>
      </c>
      <c r="F159" t="s">
        <v>48</v>
      </c>
      <c r="G159" t="s">
        <v>53</v>
      </c>
      <c r="H159" s="18" t="s">
        <v>20</v>
      </c>
      <c r="I159" s="18" t="s">
        <v>21</v>
      </c>
      <c r="J159" s="4">
        <v>45384</v>
      </c>
      <c r="K159">
        <v>1658</v>
      </c>
      <c r="L159" s="1"/>
      <c r="M159" s="7">
        <v>3.0800000000000001E-2</v>
      </c>
      <c r="N159" s="9">
        <v>1.74</v>
      </c>
      <c r="O159" s="6">
        <v>11.8</v>
      </c>
      <c r="P159" s="19">
        <f t="shared" si="2"/>
        <v>1.1800000000000001E-2</v>
      </c>
    </row>
    <row r="160" spans="1:16" ht="15.75" customHeight="1" x14ac:dyDescent="0.35">
      <c r="A160">
        <v>146</v>
      </c>
      <c r="B160" s="2">
        <v>45497</v>
      </c>
      <c r="C160" t="s">
        <v>12</v>
      </c>
      <c r="D160" s="18" t="s">
        <v>13</v>
      </c>
      <c r="E160" s="18">
        <v>3</v>
      </c>
      <c r="F160" t="s">
        <v>21</v>
      </c>
      <c r="G160" t="s">
        <v>53</v>
      </c>
      <c r="H160" s="18" t="s">
        <v>20</v>
      </c>
      <c r="I160" s="18" t="s">
        <v>16</v>
      </c>
      <c r="J160" s="4">
        <v>45384</v>
      </c>
      <c r="K160">
        <v>1658</v>
      </c>
      <c r="L160" s="1"/>
      <c r="M160" s="7">
        <v>8.3799999999999999E-2</v>
      </c>
      <c r="N160" s="9">
        <v>5.2</v>
      </c>
      <c r="O160" s="6">
        <v>10.96</v>
      </c>
      <c r="P160" s="19">
        <f t="shared" si="2"/>
        <v>1.0960000000000001E-2</v>
      </c>
    </row>
    <row r="161" spans="1:16" ht="15.75" customHeight="1" x14ac:dyDescent="0.35">
      <c r="A161">
        <v>153</v>
      </c>
      <c r="B161" s="2">
        <v>45497</v>
      </c>
      <c r="C161" t="s">
        <v>12</v>
      </c>
      <c r="D161" s="18" t="s">
        <v>26</v>
      </c>
      <c r="E161" s="18">
        <v>3</v>
      </c>
      <c r="F161" t="s">
        <v>48</v>
      </c>
      <c r="G161" t="s">
        <v>53</v>
      </c>
      <c r="H161" s="18" t="s">
        <v>25</v>
      </c>
      <c r="I161" s="18" t="s">
        <v>21</v>
      </c>
      <c r="J161" s="4">
        <v>45384</v>
      </c>
      <c r="K161">
        <v>1658</v>
      </c>
      <c r="L161" s="1"/>
      <c r="M161" s="7">
        <v>3.4000000000000002E-2</v>
      </c>
      <c r="N161" s="9">
        <v>3.27</v>
      </c>
      <c r="O161" s="6">
        <v>8.81</v>
      </c>
      <c r="P161" s="19">
        <f t="shared" si="2"/>
        <v>8.8100000000000001E-3</v>
      </c>
    </row>
    <row r="162" spans="1:16" ht="15.75" customHeight="1" x14ac:dyDescent="0.35">
      <c r="A162">
        <v>154</v>
      </c>
      <c r="B162" s="2">
        <v>45497</v>
      </c>
      <c r="C162" t="s">
        <v>12</v>
      </c>
      <c r="D162" s="18" t="s">
        <v>26</v>
      </c>
      <c r="E162" s="18">
        <v>3</v>
      </c>
      <c r="F162" t="s">
        <v>21</v>
      </c>
      <c r="G162" t="s">
        <v>53</v>
      </c>
      <c r="H162" s="18" t="s">
        <v>25</v>
      </c>
      <c r="I162" s="18" t="s">
        <v>16</v>
      </c>
      <c r="J162" s="4">
        <v>45384</v>
      </c>
      <c r="K162">
        <v>1658</v>
      </c>
      <c r="L162" s="1"/>
      <c r="M162" s="7">
        <v>3.5200000000000002E-2</v>
      </c>
      <c r="N162" s="9">
        <v>3.69</v>
      </c>
      <c r="O162" s="6">
        <v>53.1</v>
      </c>
      <c r="P162" s="19">
        <f t="shared" si="2"/>
        <v>5.3100000000000001E-2</v>
      </c>
    </row>
    <row r="163" spans="1:16" ht="15.75" customHeight="1" x14ac:dyDescent="0.35">
      <c r="A163">
        <v>159</v>
      </c>
      <c r="B163" s="2">
        <v>45497</v>
      </c>
      <c r="C163" t="s">
        <v>12</v>
      </c>
      <c r="D163" s="18" t="s">
        <v>31</v>
      </c>
      <c r="E163" s="18">
        <v>4</v>
      </c>
      <c r="F163" t="s">
        <v>48</v>
      </c>
      <c r="G163" t="s">
        <v>53</v>
      </c>
      <c r="H163" s="18" t="s">
        <v>15</v>
      </c>
      <c r="I163" s="18" t="s">
        <v>21</v>
      </c>
      <c r="J163" s="4">
        <v>45384</v>
      </c>
      <c r="K163">
        <v>1658</v>
      </c>
      <c r="L163" s="1"/>
      <c r="M163" s="7">
        <v>2.5899999999999999E-2</v>
      </c>
      <c r="N163" s="9">
        <v>8.43</v>
      </c>
      <c r="O163" s="6">
        <v>15.2</v>
      </c>
      <c r="P163" s="19">
        <f t="shared" si="2"/>
        <v>1.52E-2</v>
      </c>
    </row>
    <row r="164" spans="1:16" ht="15.75" customHeight="1" x14ac:dyDescent="0.35">
      <c r="A164">
        <v>160</v>
      </c>
      <c r="B164" s="2">
        <v>45497</v>
      </c>
      <c r="C164" t="s">
        <v>12</v>
      </c>
      <c r="D164" s="18" t="s">
        <v>31</v>
      </c>
      <c r="E164" s="18">
        <v>4</v>
      </c>
      <c r="F164" t="s">
        <v>21</v>
      </c>
      <c r="G164" t="s">
        <v>53</v>
      </c>
      <c r="H164" s="18" t="s">
        <v>15</v>
      </c>
      <c r="I164" s="18" t="s">
        <v>16</v>
      </c>
      <c r="J164" s="4">
        <v>45384</v>
      </c>
      <c r="K164">
        <v>1658</v>
      </c>
      <c r="L164" s="1"/>
      <c r="M164" s="7">
        <v>2.7300000000000001E-2</v>
      </c>
      <c r="N164" s="6">
        <v>7.56</v>
      </c>
      <c r="O164" s="6">
        <v>12.6</v>
      </c>
      <c r="P164" s="19">
        <f t="shared" si="2"/>
        <v>1.26E-2</v>
      </c>
    </row>
    <row r="165" spans="1:16" ht="15.75" customHeight="1" x14ac:dyDescent="0.35">
      <c r="A165">
        <v>161</v>
      </c>
      <c r="B165" s="2">
        <v>45497</v>
      </c>
      <c r="C165" t="s">
        <v>12</v>
      </c>
      <c r="D165" s="18" t="s">
        <v>46</v>
      </c>
      <c r="E165" s="18">
        <v>4</v>
      </c>
      <c r="F165" t="s">
        <v>48</v>
      </c>
      <c r="G165" t="s">
        <v>53</v>
      </c>
      <c r="H165" s="18" t="s">
        <v>29</v>
      </c>
      <c r="I165" s="18" t="s">
        <v>21</v>
      </c>
      <c r="J165" s="4">
        <v>45384</v>
      </c>
      <c r="K165">
        <v>1658</v>
      </c>
      <c r="L165" s="1"/>
      <c r="M165" s="8">
        <v>4.4999999999999998E-2</v>
      </c>
      <c r="N165" s="8">
        <v>0.76100000000000001</v>
      </c>
      <c r="O165" s="8">
        <v>19.899999999999999</v>
      </c>
      <c r="P165" s="19">
        <f t="shared" si="2"/>
        <v>1.9899999999999998E-2</v>
      </c>
    </row>
    <row r="166" spans="1:16" ht="15.75" customHeight="1" x14ac:dyDescent="0.35">
      <c r="A166">
        <v>162</v>
      </c>
      <c r="B166" s="2">
        <v>45497</v>
      </c>
      <c r="C166" t="s">
        <v>12</v>
      </c>
      <c r="D166" s="18" t="s">
        <v>46</v>
      </c>
      <c r="E166" s="18">
        <v>4</v>
      </c>
      <c r="F166" t="s">
        <v>21</v>
      </c>
      <c r="G166" t="s">
        <v>53</v>
      </c>
      <c r="H166" s="18" t="s">
        <v>29</v>
      </c>
      <c r="I166" s="18" t="s">
        <v>16</v>
      </c>
      <c r="J166" s="4">
        <v>45384</v>
      </c>
      <c r="K166">
        <v>1658</v>
      </c>
      <c r="L166" s="1"/>
      <c r="M166" s="7">
        <v>3.61E-2</v>
      </c>
      <c r="N166" s="9">
        <v>3.18</v>
      </c>
      <c r="O166" s="6">
        <v>16.100000000000001</v>
      </c>
      <c r="P166" s="19">
        <f t="shared" si="2"/>
        <v>1.6100000000000003E-2</v>
      </c>
    </row>
    <row r="167" spans="1:16" ht="15.75" customHeight="1" x14ac:dyDescent="0.35">
      <c r="A167">
        <v>155</v>
      </c>
      <c r="B167" s="2">
        <v>45497</v>
      </c>
      <c r="C167" t="s">
        <v>12</v>
      </c>
      <c r="D167" s="18" t="s">
        <v>28</v>
      </c>
      <c r="E167" s="18">
        <v>4</v>
      </c>
      <c r="F167" t="s">
        <v>48</v>
      </c>
      <c r="G167" t="s">
        <v>53</v>
      </c>
      <c r="H167" s="18" t="s">
        <v>27</v>
      </c>
      <c r="I167" s="18" t="s">
        <v>21</v>
      </c>
      <c r="J167" s="4">
        <v>45384</v>
      </c>
      <c r="K167">
        <v>1658</v>
      </c>
      <c r="L167" s="1"/>
      <c r="M167" s="7">
        <v>3.7499999999999999E-2</v>
      </c>
      <c r="N167" s="9">
        <v>4.7300000000000004</v>
      </c>
      <c r="O167" s="6">
        <v>24.5</v>
      </c>
      <c r="P167" s="19">
        <f t="shared" si="2"/>
        <v>2.4500000000000001E-2</v>
      </c>
    </row>
    <row r="168" spans="1:16" ht="15.75" customHeight="1" x14ac:dyDescent="0.35">
      <c r="A168">
        <v>156</v>
      </c>
      <c r="B168" s="2">
        <v>45497</v>
      </c>
      <c r="C168" t="s">
        <v>12</v>
      </c>
      <c r="D168" s="18" t="s">
        <v>28</v>
      </c>
      <c r="E168" s="18">
        <v>4</v>
      </c>
      <c r="F168" t="s">
        <v>21</v>
      </c>
      <c r="G168" t="s">
        <v>53</v>
      </c>
      <c r="H168" s="18" t="s">
        <v>27</v>
      </c>
      <c r="I168" s="18" t="s">
        <v>16</v>
      </c>
      <c r="J168" s="4">
        <v>45384</v>
      </c>
      <c r="K168">
        <v>1658</v>
      </c>
      <c r="L168" s="1"/>
      <c r="M168" s="7">
        <v>2.6700000000000002E-2</v>
      </c>
      <c r="N168" s="9">
        <v>11.4</v>
      </c>
      <c r="O168" s="6">
        <v>10.5</v>
      </c>
      <c r="P168" s="19">
        <f t="shared" si="2"/>
        <v>1.0500000000000001E-2</v>
      </c>
    </row>
    <row r="169" spans="1:16" ht="15.75" customHeight="1" x14ac:dyDescent="0.35">
      <c r="A169">
        <v>157</v>
      </c>
      <c r="B169" s="2">
        <v>45497</v>
      </c>
      <c r="C169" t="s">
        <v>12</v>
      </c>
      <c r="D169" s="18" t="s">
        <v>30</v>
      </c>
      <c r="E169" s="18">
        <v>4</v>
      </c>
      <c r="F169" t="s">
        <v>21</v>
      </c>
      <c r="G169" t="s">
        <v>53</v>
      </c>
      <c r="H169" s="18" t="s">
        <v>49</v>
      </c>
      <c r="I169" s="18" t="s">
        <v>16</v>
      </c>
      <c r="J169" s="4">
        <v>45384</v>
      </c>
      <c r="K169">
        <v>1658</v>
      </c>
      <c r="L169" s="1"/>
      <c r="M169" s="7">
        <v>3.1600000000000003E-2</v>
      </c>
      <c r="N169" s="9">
        <v>7</v>
      </c>
      <c r="O169" s="6">
        <v>10.9</v>
      </c>
      <c r="P169" s="19">
        <f t="shared" si="2"/>
        <v>1.09E-2</v>
      </c>
    </row>
    <row r="170" spans="1:16" ht="15.75" customHeight="1" x14ac:dyDescent="0.35">
      <c r="A170">
        <v>158</v>
      </c>
      <c r="B170" s="2">
        <v>45497</v>
      </c>
      <c r="C170" t="s">
        <v>12</v>
      </c>
      <c r="D170" s="18" t="s">
        <v>30</v>
      </c>
      <c r="E170" s="18">
        <v>4</v>
      </c>
      <c r="F170" t="s">
        <v>48</v>
      </c>
      <c r="G170" t="s">
        <v>53</v>
      </c>
      <c r="H170" s="18" t="s">
        <v>49</v>
      </c>
      <c r="I170" s="18" t="s">
        <v>21</v>
      </c>
      <c r="J170" s="4">
        <v>45384</v>
      </c>
      <c r="K170">
        <v>1658</v>
      </c>
      <c r="L170" s="1"/>
      <c r="M170" s="7">
        <v>0.22239999999999999</v>
      </c>
      <c r="N170" s="9">
        <v>10.88</v>
      </c>
      <c r="O170" s="6">
        <v>72.48</v>
      </c>
      <c r="P170" s="19">
        <f t="shared" si="2"/>
        <v>7.2480000000000003E-2</v>
      </c>
    </row>
    <row r="171" spans="1:16" ht="15.75" customHeight="1" x14ac:dyDescent="0.35">
      <c r="A171">
        <v>163</v>
      </c>
      <c r="B171" s="2">
        <v>45497</v>
      </c>
      <c r="C171" t="s">
        <v>12</v>
      </c>
      <c r="D171" s="18" t="s">
        <v>32</v>
      </c>
      <c r="E171" s="18">
        <v>4</v>
      </c>
      <c r="F171" t="s">
        <v>48</v>
      </c>
      <c r="G171" t="s">
        <v>53</v>
      </c>
      <c r="H171" s="18" t="s">
        <v>20</v>
      </c>
      <c r="I171" s="18" t="s">
        <v>21</v>
      </c>
      <c r="J171" s="4">
        <v>45384</v>
      </c>
      <c r="K171">
        <v>1658</v>
      </c>
      <c r="L171" s="1"/>
      <c r="M171" s="7">
        <v>0.2712</v>
      </c>
      <c r="N171" s="9">
        <v>14.32</v>
      </c>
      <c r="O171" s="6">
        <v>92.8</v>
      </c>
      <c r="P171" s="19">
        <f t="shared" si="2"/>
        <v>9.2799999999999994E-2</v>
      </c>
    </row>
    <row r="172" spans="1:16" ht="15.75" customHeight="1" x14ac:dyDescent="0.35">
      <c r="A172">
        <v>164</v>
      </c>
      <c r="B172" s="2">
        <v>45497</v>
      </c>
      <c r="C172" t="s">
        <v>12</v>
      </c>
      <c r="D172" s="18" t="s">
        <v>32</v>
      </c>
      <c r="E172" s="18">
        <v>4</v>
      </c>
      <c r="F172" t="s">
        <v>21</v>
      </c>
      <c r="G172" t="s">
        <v>53</v>
      </c>
      <c r="H172" s="18" t="s">
        <v>20</v>
      </c>
      <c r="I172" s="18" t="s">
        <v>16</v>
      </c>
      <c r="J172" s="4">
        <v>45384</v>
      </c>
      <c r="K172">
        <v>1658</v>
      </c>
      <c r="L172" s="1"/>
      <c r="M172" s="8">
        <v>2.8000000000000001E-2</v>
      </c>
      <c r="N172" s="8">
        <v>10</v>
      </c>
      <c r="O172" s="8">
        <v>12.7</v>
      </c>
      <c r="P172" s="19">
        <f t="shared" si="2"/>
        <v>1.2699999999999999E-2</v>
      </c>
    </row>
    <row r="173" spans="1:16" ht="15.75" customHeight="1" x14ac:dyDescent="0.35">
      <c r="A173">
        <v>165</v>
      </c>
      <c r="B173" s="2">
        <v>45497</v>
      </c>
      <c r="C173" t="s">
        <v>12</v>
      </c>
      <c r="D173" s="18" t="s">
        <v>33</v>
      </c>
      <c r="E173" s="18">
        <v>4</v>
      </c>
      <c r="F173" t="s">
        <v>48</v>
      </c>
      <c r="G173" t="s">
        <v>53</v>
      </c>
      <c r="H173" s="18" t="s">
        <v>25</v>
      </c>
      <c r="I173" s="18" t="s">
        <v>21</v>
      </c>
      <c r="J173" s="4">
        <v>45384</v>
      </c>
      <c r="K173">
        <v>1658</v>
      </c>
      <c r="L173" s="1"/>
      <c r="M173" s="8">
        <v>0.184</v>
      </c>
      <c r="N173" s="8">
        <v>12.88</v>
      </c>
      <c r="O173" s="8">
        <v>124</v>
      </c>
      <c r="P173" s="19">
        <f t="shared" si="2"/>
        <v>0.124</v>
      </c>
    </row>
    <row r="174" spans="1:16" ht="15.75" customHeight="1" x14ac:dyDescent="0.35">
      <c r="A174">
        <v>166</v>
      </c>
      <c r="B174" s="2">
        <v>45497</v>
      </c>
      <c r="C174" t="s">
        <v>12</v>
      </c>
      <c r="D174" s="18" t="s">
        <v>33</v>
      </c>
      <c r="E174" s="18">
        <v>4</v>
      </c>
      <c r="F174" t="s">
        <v>21</v>
      </c>
      <c r="G174" t="s">
        <v>53</v>
      </c>
      <c r="H174" s="18" t="s">
        <v>25</v>
      </c>
      <c r="I174" s="18" t="s">
        <v>16</v>
      </c>
      <c r="J174" s="4">
        <v>45384</v>
      </c>
      <c r="K174">
        <v>1658</v>
      </c>
      <c r="L174" s="1"/>
      <c r="M174" s="8">
        <v>0.03</v>
      </c>
      <c r="N174" s="8">
        <v>2.42</v>
      </c>
      <c r="O174" s="8">
        <v>11.1</v>
      </c>
      <c r="P174" s="19">
        <f t="shared" si="2"/>
        <v>1.11E-2</v>
      </c>
    </row>
    <row r="175" spans="1:16" ht="15.75" customHeight="1" x14ac:dyDescent="0.35">
      <c r="A175">
        <v>221</v>
      </c>
      <c r="B175" s="2">
        <v>45498</v>
      </c>
      <c r="C175" t="s">
        <v>12</v>
      </c>
      <c r="D175" s="18" t="s">
        <v>39</v>
      </c>
      <c r="E175" s="18">
        <v>1</v>
      </c>
      <c r="F175" t="s">
        <v>48</v>
      </c>
      <c r="G175" t="s">
        <v>53</v>
      </c>
      <c r="H175" s="18" t="s">
        <v>15</v>
      </c>
      <c r="I175" s="18" t="s">
        <v>21</v>
      </c>
      <c r="J175" s="4">
        <v>45409</v>
      </c>
      <c r="K175">
        <v>1659</v>
      </c>
      <c r="L175" s="1"/>
      <c r="M175" s="8">
        <v>4.0099999999999997E-2</v>
      </c>
      <c r="N175" s="8">
        <v>2.41</v>
      </c>
      <c r="O175" s="8">
        <v>11.9</v>
      </c>
      <c r="P175" s="19">
        <f t="shared" si="2"/>
        <v>1.1900000000000001E-2</v>
      </c>
    </row>
    <row r="176" spans="1:16" ht="15.75" customHeight="1" x14ac:dyDescent="0.35">
      <c r="A176">
        <v>222</v>
      </c>
      <c r="B176" s="2">
        <v>45498</v>
      </c>
      <c r="C176" t="s">
        <v>12</v>
      </c>
      <c r="D176" s="18" t="s">
        <v>39</v>
      </c>
      <c r="E176" s="18">
        <v>1</v>
      </c>
      <c r="F176" t="s">
        <v>21</v>
      </c>
      <c r="G176" t="s">
        <v>53</v>
      </c>
      <c r="H176" s="18" t="s">
        <v>15</v>
      </c>
      <c r="I176" s="18" t="s">
        <v>16</v>
      </c>
      <c r="J176" s="4">
        <v>45409</v>
      </c>
      <c r="K176">
        <v>1659</v>
      </c>
      <c r="L176" s="1"/>
      <c r="M176" s="8">
        <v>2.6499999999999999E-2</v>
      </c>
      <c r="N176" s="8">
        <v>4.6900000000000004</v>
      </c>
      <c r="O176" s="8">
        <v>9.02</v>
      </c>
      <c r="P176" s="19">
        <f t="shared" si="2"/>
        <v>9.0200000000000002E-3</v>
      </c>
    </row>
    <row r="177" spans="1:16" ht="15.75" customHeight="1" x14ac:dyDescent="0.35">
      <c r="A177">
        <v>219</v>
      </c>
      <c r="B177" s="2">
        <v>45498</v>
      </c>
      <c r="C177" t="s">
        <v>12</v>
      </c>
      <c r="D177" s="18" t="s">
        <v>38</v>
      </c>
      <c r="E177" s="18">
        <v>1</v>
      </c>
      <c r="F177" t="s">
        <v>48</v>
      </c>
      <c r="G177" t="s">
        <v>53</v>
      </c>
      <c r="H177" s="18" t="s">
        <v>29</v>
      </c>
      <c r="I177" s="18" t="s">
        <v>21</v>
      </c>
      <c r="J177" s="4">
        <v>45409</v>
      </c>
      <c r="K177">
        <v>1659</v>
      </c>
      <c r="L177" s="1"/>
      <c r="M177" s="8">
        <v>3.2000000000000001E-2</v>
      </c>
      <c r="N177" s="8">
        <v>0.11</v>
      </c>
      <c r="O177" s="8">
        <v>12.9</v>
      </c>
      <c r="P177" s="19">
        <f t="shared" si="2"/>
        <v>1.29E-2</v>
      </c>
    </row>
    <row r="178" spans="1:16" ht="15.75" customHeight="1" x14ac:dyDescent="0.35">
      <c r="A178">
        <v>220</v>
      </c>
      <c r="B178" s="2">
        <v>45498</v>
      </c>
      <c r="C178" t="s">
        <v>12</v>
      </c>
      <c r="D178" s="18" t="s">
        <v>38</v>
      </c>
      <c r="E178" s="18">
        <v>1</v>
      </c>
      <c r="F178" t="s">
        <v>21</v>
      </c>
      <c r="G178" t="s">
        <v>53</v>
      </c>
      <c r="H178" s="18" t="s">
        <v>29</v>
      </c>
      <c r="I178" s="18" t="s">
        <v>16</v>
      </c>
      <c r="J178" s="4">
        <v>45409</v>
      </c>
      <c r="K178">
        <v>1659</v>
      </c>
      <c r="L178" s="1"/>
      <c r="M178" s="8">
        <v>2.87E-2</v>
      </c>
      <c r="N178" s="8">
        <v>1.32</v>
      </c>
      <c r="O178" s="8">
        <v>7.73</v>
      </c>
      <c r="P178" s="19">
        <f t="shared" si="2"/>
        <v>7.7300000000000008E-3</v>
      </c>
    </row>
    <row r="179" spans="1:16" ht="15.75" customHeight="1" x14ac:dyDescent="0.35">
      <c r="A179">
        <v>212</v>
      </c>
      <c r="B179" s="2">
        <v>45498</v>
      </c>
      <c r="C179" t="s">
        <v>12</v>
      </c>
      <c r="D179" s="18" t="s">
        <v>34</v>
      </c>
      <c r="E179" s="18">
        <v>1</v>
      </c>
      <c r="F179" t="s">
        <v>48</v>
      </c>
      <c r="G179" t="s">
        <v>53</v>
      </c>
      <c r="H179" s="18" t="s">
        <v>27</v>
      </c>
      <c r="I179" s="18" t="s">
        <v>21</v>
      </c>
      <c r="J179" s="4">
        <v>45409</v>
      </c>
      <c r="K179">
        <v>1659</v>
      </c>
      <c r="L179" s="1"/>
      <c r="M179" s="8">
        <v>3.2199999999999999E-2</v>
      </c>
      <c r="N179" s="8">
        <v>1.27</v>
      </c>
      <c r="O179" s="8">
        <v>13.1</v>
      </c>
      <c r="P179" s="19">
        <f t="shared" si="2"/>
        <v>1.3100000000000001E-2</v>
      </c>
    </row>
    <row r="180" spans="1:16" ht="15.75" customHeight="1" x14ac:dyDescent="0.35">
      <c r="A180">
        <v>215</v>
      </c>
      <c r="B180" s="2">
        <v>45498</v>
      </c>
      <c r="C180" t="s">
        <v>12</v>
      </c>
      <c r="D180" s="18" t="s">
        <v>36</v>
      </c>
      <c r="E180" s="18">
        <v>1</v>
      </c>
      <c r="F180" t="s">
        <v>48</v>
      </c>
      <c r="G180" t="s">
        <v>53</v>
      </c>
      <c r="H180" s="18" t="s">
        <v>49</v>
      </c>
      <c r="I180" s="18" t="s">
        <v>21</v>
      </c>
      <c r="J180" s="4">
        <v>45409</v>
      </c>
      <c r="K180">
        <v>1659</v>
      </c>
      <c r="L180" s="1"/>
      <c r="M180" s="8">
        <v>2.8899999999999999E-2</v>
      </c>
      <c r="N180" s="8">
        <v>2.78</v>
      </c>
      <c r="O180" s="8">
        <v>8.58</v>
      </c>
      <c r="P180" s="19">
        <f t="shared" si="2"/>
        <v>8.5800000000000008E-3</v>
      </c>
    </row>
    <row r="181" spans="1:16" ht="15.75" customHeight="1" x14ac:dyDescent="0.35">
      <c r="A181">
        <v>216</v>
      </c>
      <c r="B181" s="2">
        <v>45498</v>
      </c>
      <c r="C181" t="s">
        <v>12</v>
      </c>
      <c r="D181" s="18" t="s">
        <v>36</v>
      </c>
      <c r="E181" s="18">
        <v>1</v>
      </c>
      <c r="F181" t="s">
        <v>21</v>
      </c>
      <c r="G181" t="s">
        <v>53</v>
      </c>
      <c r="H181" s="18" t="s">
        <v>49</v>
      </c>
      <c r="I181" s="18" t="s">
        <v>16</v>
      </c>
      <c r="J181" s="4">
        <v>45409</v>
      </c>
      <c r="K181">
        <v>1659</v>
      </c>
      <c r="L181" s="1"/>
      <c r="M181" s="8">
        <v>6.8599999999999994E-2</v>
      </c>
      <c r="N181" s="8">
        <v>16.46</v>
      </c>
      <c r="O181" s="8">
        <v>11.52</v>
      </c>
      <c r="P181" s="19">
        <f t="shared" si="2"/>
        <v>1.1519999999999999E-2</v>
      </c>
    </row>
    <row r="182" spans="1:16" ht="15.75" customHeight="1" x14ac:dyDescent="0.35">
      <c r="A182">
        <v>217</v>
      </c>
      <c r="B182" s="2">
        <v>45498</v>
      </c>
      <c r="C182" t="s">
        <v>12</v>
      </c>
      <c r="D182" s="18" t="s">
        <v>37</v>
      </c>
      <c r="E182" s="18">
        <v>1</v>
      </c>
      <c r="F182" t="s">
        <v>48</v>
      </c>
      <c r="G182" t="s">
        <v>53</v>
      </c>
      <c r="H182" s="18" t="s">
        <v>20</v>
      </c>
      <c r="I182" s="18" t="s">
        <v>21</v>
      </c>
      <c r="J182" s="4">
        <v>45409</v>
      </c>
      <c r="K182">
        <v>1659</v>
      </c>
      <c r="L182" s="1"/>
      <c r="M182" s="8">
        <v>3.3799999999999997E-2</v>
      </c>
      <c r="N182" s="8">
        <v>0.29899999999999999</v>
      </c>
      <c r="O182" s="8">
        <v>8.44</v>
      </c>
      <c r="P182" s="19">
        <f t="shared" si="2"/>
        <v>8.4399999999999996E-3</v>
      </c>
    </row>
    <row r="183" spans="1:16" ht="15.75" customHeight="1" x14ac:dyDescent="0.35">
      <c r="A183">
        <v>218</v>
      </c>
      <c r="B183" s="2">
        <v>45498</v>
      </c>
      <c r="C183" t="s">
        <v>12</v>
      </c>
      <c r="D183" s="18" t="s">
        <v>37</v>
      </c>
      <c r="E183" s="18">
        <v>1</v>
      </c>
      <c r="F183" t="s">
        <v>21</v>
      </c>
      <c r="G183" t="s">
        <v>53</v>
      </c>
      <c r="H183" s="18" t="s">
        <v>20</v>
      </c>
      <c r="I183" s="18" t="s">
        <v>16</v>
      </c>
      <c r="J183" s="4">
        <v>45409</v>
      </c>
      <c r="K183">
        <v>1659</v>
      </c>
      <c r="L183" s="1"/>
      <c r="M183" s="8">
        <v>3.0700000000000002E-2</v>
      </c>
      <c r="N183" s="8">
        <v>5.63</v>
      </c>
      <c r="O183" s="8">
        <v>9.49</v>
      </c>
      <c r="P183" s="19">
        <f t="shared" si="2"/>
        <v>9.4900000000000002E-3</v>
      </c>
    </row>
    <row r="184" spans="1:16" ht="15.75" customHeight="1" x14ac:dyDescent="0.35">
      <c r="A184">
        <v>213</v>
      </c>
      <c r="B184" s="2">
        <v>45498</v>
      </c>
      <c r="C184" t="s">
        <v>12</v>
      </c>
      <c r="D184" s="18" t="s">
        <v>35</v>
      </c>
      <c r="E184" s="18">
        <v>1</v>
      </c>
      <c r="F184" t="s">
        <v>48</v>
      </c>
      <c r="G184" t="s">
        <v>53</v>
      </c>
      <c r="H184" s="18" t="s">
        <v>25</v>
      </c>
      <c r="I184" s="18" t="s">
        <v>21</v>
      </c>
      <c r="J184" s="4">
        <v>45409</v>
      </c>
      <c r="K184">
        <v>1659</v>
      </c>
      <c r="L184" s="1"/>
      <c r="M184" s="8">
        <v>3.9899999999999998E-2</v>
      </c>
      <c r="N184" s="8">
        <v>5.85</v>
      </c>
      <c r="O184" s="8">
        <v>13.8</v>
      </c>
      <c r="P184" s="19">
        <f t="shared" si="2"/>
        <v>1.3800000000000002E-2</v>
      </c>
    </row>
    <row r="185" spans="1:16" ht="15.75" customHeight="1" x14ac:dyDescent="0.35">
      <c r="A185">
        <v>214</v>
      </c>
      <c r="B185" s="2">
        <v>45498</v>
      </c>
      <c r="C185" t="s">
        <v>12</v>
      </c>
      <c r="D185" s="18" t="s">
        <v>35</v>
      </c>
      <c r="E185" s="18">
        <v>1</v>
      </c>
      <c r="F185" t="s">
        <v>21</v>
      </c>
      <c r="G185" t="s">
        <v>53</v>
      </c>
      <c r="H185" s="18" t="s">
        <v>25</v>
      </c>
      <c r="I185" s="18" t="s">
        <v>16</v>
      </c>
      <c r="J185" s="4">
        <v>45409</v>
      </c>
      <c r="K185">
        <v>1659</v>
      </c>
      <c r="L185" s="1"/>
      <c r="M185" s="8">
        <v>3.2199999999999999E-2</v>
      </c>
      <c r="N185" s="8">
        <v>6.49</v>
      </c>
      <c r="O185" s="8">
        <v>13.9</v>
      </c>
      <c r="P185" s="19">
        <f t="shared" si="2"/>
        <v>1.3900000000000001E-2</v>
      </c>
    </row>
    <row r="186" spans="1:16" ht="15.75" customHeight="1" x14ac:dyDescent="0.35">
      <c r="A186">
        <v>230</v>
      </c>
      <c r="B186" s="2">
        <v>45498</v>
      </c>
      <c r="C186" t="s">
        <v>12</v>
      </c>
      <c r="D186" s="18" t="s">
        <v>44</v>
      </c>
      <c r="E186" s="18">
        <v>2</v>
      </c>
      <c r="F186" t="s">
        <v>48</v>
      </c>
      <c r="G186" t="s">
        <v>53</v>
      </c>
      <c r="H186" s="18" t="s">
        <v>15</v>
      </c>
      <c r="I186" s="18" t="s">
        <v>21</v>
      </c>
      <c r="J186" s="4">
        <v>45409</v>
      </c>
      <c r="K186">
        <v>1659</v>
      </c>
      <c r="L186" s="1"/>
      <c r="M186" s="8">
        <v>2.9899999999999999E-2</v>
      </c>
      <c r="N186" s="8">
        <v>2.99</v>
      </c>
      <c r="O186" s="8">
        <v>10.1</v>
      </c>
      <c r="P186" s="19">
        <f t="shared" si="2"/>
        <v>1.01E-2</v>
      </c>
    </row>
    <row r="187" spans="1:16" ht="15.75" customHeight="1" x14ac:dyDescent="0.35">
      <c r="A187">
        <v>231</v>
      </c>
      <c r="B187" s="2">
        <v>45498</v>
      </c>
      <c r="C187" t="s">
        <v>12</v>
      </c>
      <c r="D187" s="18" t="s">
        <v>44</v>
      </c>
      <c r="E187" s="18">
        <v>2</v>
      </c>
      <c r="F187" t="s">
        <v>21</v>
      </c>
      <c r="G187" t="s">
        <v>53</v>
      </c>
      <c r="H187" s="18" t="s">
        <v>15</v>
      </c>
      <c r="I187" s="18" t="s">
        <v>16</v>
      </c>
      <c r="J187" s="4">
        <v>45409</v>
      </c>
      <c r="K187">
        <v>1659</v>
      </c>
      <c r="L187" s="1"/>
      <c r="M187" s="8">
        <v>3.9100000000000003E-2</v>
      </c>
      <c r="N187" s="8">
        <v>4.26</v>
      </c>
      <c r="O187" s="8">
        <v>11.8</v>
      </c>
      <c r="P187" s="19">
        <f t="shared" si="2"/>
        <v>1.1800000000000001E-2</v>
      </c>
    </row>
    <row r="188" spans="1:16" ht="15.75" customHeight="1" x14ac:dyDescent="0.35">
      <c r="A188">
        <v>225</v>
      </c>
      <c r="B188" s="2">
        <v>45498</v>
      </c>
      <c r="C188" t="s">
        <v>12</v>
      </c>
      <c r="D188" s="18" t="s">
        <v>41</v>
      </c>
      <c r="E188" s="18">
        <v>2</v>
      </c>
      <c r="F188" t="s">
        <v>21</v>
      </c>
      <c r="G188" t="s">
        <v>53</v>
      </c>
      <c r="H188" s="18" t="s">
        <v>29</v>
      </c>
      <c r="I188" s="18" t="s">
        <v>16</v>
      </c>
      <c r="J188" s="4">
        <v>45409</v>
      </c>
      <c r="K188">
        <v>1659</v>
      </c>
      <c r="L188" s="1"/>
      <c r="M188" s="8">
        <v>0.03</v>
      </c>
      <c r="N188" s="8">
        <v>3.59</v>
      </c>
      <c r="O188" s="8">
        <v>9.86</v>
      </c>
      <c r="P188" s="19">
        <f t="shared" si="2"/>
        <v>9.859999999999999E-3</v>
      </c>
    </row>
    <row r="189" spans="1:16" ht="15.75" customHeight="1" x14ac:dyDescent="0.35">
      <c r="A189">
        <v>229</v>
      </c>
      <c r="B189" s="2">
        <v>45498</v>
      </c>
      <c r="C189" t="s">
        <v>12</v>
      </c>
      <c r="D189" s="18" t="s">
        <v>43</v>
      </c>
      <c r="E189" s="18">
        <v>2</v>
      </c>
      <c r="F189" t="s">
        <v>21</v>
      </c>
      <c r="G189" t="s">
        <v>53</v>
      </c>
      <c r="H189" s="18" t="s">
        <v>27</v>
      </c>
      <c r="I189" s="18" t="s">
        <v>16</v>
      </c>
      <c r="J189" s="4">
        <v>45409</v>
      </c>
      <c r="K189">
        <v>1659</v>
      </c>
      <c r="L189" s="1"/>
      <c r="M189" s="8">
        <v>3.6299999999999999E-2</v>
      </c>
      <c r="N189" s="8">
        <v>1.96</v>
      </c>
      <c r="O189" s="8">
        <v>10.5</v>
      </c>
      <c r="P189" s="19">
        <f t="shared" si="2"/>
        <v>1.0500000000000001E-2</v>
      </c>
    </row>
    <row r="190" spans="1:16" ht="15.75" customHeight="1" x14ac:dyDescent="0.35">
      <c r="A190">
        <v>223</v>
      </c>
      <c r="B190" s="2">
        <v>45498</v>
      </c>
      <c r="C190" t="s">
        <v>12</v>
      </c>
      <c r="D190" s="18" t="s">
        <v>40</v>
      </c>
      <c r="E190" s="18">
        <v>2</v>
      </c>
      <c r="F190" t="s">
        <v>48</v>
      </c>
      <c r="G190" t="s">
        <v>53</v>
      </c>
      <c r="H190" s="18" t="s">
        <v>49</v>
      </c>
      <c r="I190" s="18" t="s">
        <v>21</v>
      </c>
      <c r="J190" s="4">
        <v>45409</v>
      </c>
      <c r="K190">
        <v>1659</v>
      </c>
      <c r="L190" s="1"/>
      <c r="M190" s="8">
        <v>2.6100000000000002E-2</v>
      </c>
      <c r="N190" s="8">
        <v>0.21199999999999999</v>
      </c>
      <c r="O190" s="8">
        <v>11.9</v>
      </c>
      <c r="P190" s="19">
        <f t="shared" si="2"/>
        <v>1.1900000000000001E-2</v>
      </c>
    </row>
    <row r="191" spans="1:16" ht="15.75" customHeight="1" x14ac:dyDescent="0.35">
      <c r="A191">
        <v>224</v>
      </c>
      <c r="B191" s="2">
        <v>45498</v>
      </c>
      <c r="C191" t="s">
        <v>12</v>
      </c>
      <c r="D191" s="18" t="s">
        <v>40</v>
      </c>
      <c r="E191" s="18">
        <v>2</v>
      </c>
      <c r="F191" t="s">
        <v>21</v>
      </c>
      <c r="G191" t="s">
        <v>53</v>
      </c>
      <c r="H191" s="18" t="s">
        <v>49</v>
      </c>
      <c r="I191" s="18" t="s">
        <v>16</v>
      </c>
      <c r="J191" s="4">
        <v>45409</v>
      </c>
      <c r="K191">
        <v>1659</v>
      </c>
      <c r="L191" s="1"/>
      <c r="M191" s="8">
        <v>2.9100000000000001E-2</v>
      </c>
      <c r="N191" s="8">
        <v>5.52</v>
      </c>
      <c r="O191" s="8">
        <v>8.6</v>
      </c>
      <c r="P191" s="19">
        <f t="shared" si="2"/>
        <v>8.6E-3</v>
      </c>
    </row>
    <row r="192" spans="1:16" ht="15.75" customHeight="1" x14ac:dyDescent="0.35">
      <c r="A192">
        <v>227</v>
      </c>
      <c r="B192" s="2">
        <v>45498</v>
      </c>
      <c r="C192" t="s">
        <v>12</v>
      </c>
      <c r="D192" s="18" t="s">
        <v>47</v>
      </c>
      <c r="E192" s="18">
        <v>2</v>
      </c>
      <c r="F192" t="s">
        <v>48</v>
      </c>
      <c r="G192" t="s">
        <v>53</v>
      </c>
      <c r="H192" s="18" t="s">
        <v>20</v>
      </c>
      <c r="I192" s="18" t="s">
        <v>21</v>
      </c>
      <c r="J192" s="4">
        <v>45409</v>
      </c>
      <c r="K192">
        <v>1659</v>
      </c>
      <c r="L192" s="1"/>
      <c r="M192" s="8">
        <v>6.3200000000000006E-2</v>
      </c>
      <c r="N192" s="8">
        <v>9.8800000000000008</v>
      </c>
      <c r="O192" s="8">
        <v>12.8</v>
      </c>
      <c r="P192" s="19">
        <f t="shared" si="2"/>
        <v>1.2800000000000001E-2</v>
      </c>
    </row>
    <row r="193" spans="1:16" ht="15.75" customHeight="1" x14ac:dyDescent="0.35">
      <c r="A193">
        <v>228</v>
      </c>
      <c r="B193" s="2">
        <v>45498</v>
      </c>
      <c r="C193" t="s">
        <v>12</v>
      </c>
      <c r="D193" s="18" t="s">
        <v>47</v>
      </c>
      <c r="E193" s="18">
        <v>2</v>
      </c>
      <c r="F193" t="s">
        <v>21</v>
      </c>
      <c r="G193" t="s">
        <v>53</v>
      </c>
      <c r="H193" s="18" t="s">
        <v>20</v>
      </c>
      <c r="I193" s="18" t="s">
        <v>16</v>
      </c>
      <c r="J193" s="4">
        <v>45409</v>
      </c>
      <c r="K193">
        <v>1659</v>
      </c>
      <c r="L193" s="1"/>
      <c r="M193" s="8">
        <v>1.95E-2</v>
      </c>
      <c r="N193" s="8">
        <v>7.76</v>
      </c>
      <c r="O193" s="8">
        <v>27.1</v>
      </c>
      <c r="P193" s="19">
        <f t="shared" si="2"/>
        <v>2.7100000000000003E-2</v>
      </c>
    </row>
    <row r="194" spans="1:16" ht="15.75" customHeight="1" x14ac:dyDescent="0.35">
      <c r="A194">
        <v>226</v>
      </c>
      <c r="B194" s="2">
        <v>45498</v>
      </c>
      <c r="C194" t="s">
        <v>12</v>
      </c>
      <c r="D194" s="18" t="s">
        <v>42</v>
      </c>
      <c r="E194" s="18">
        <v>2</v>
      </c>
      <c r="F194" t="s">
        <v>21</v>
      </c>
      <c r="G194" t="s">
        <v>53</v>
      </c>
      <c r="H194" s="18" t="s">
        <v>25</v>
      </c>
      <c r="I194" s="18" t="s">
        <v>16</v>
      </c>
      <c r="J194" s="4">
        <v>45409</v>
      </c>
      <c r="K194">
        <v>1659</v>
      </c>
      <c r="L194" s="1"/>
      <c r="M194" s="8">
        <v>2.9899999999999999E-2</v>
      </c>
      <c r="N194" s="8">
        <v>9.0500000000000007</v>
      </c>
      <c r="O194" s="8">
        <v>9.91</v>
      </c>
      <c r="P194" s="19">
        <f t="shared" si="2"/>
        <v>9.9100000000000004E-3</v>
      </c>
    </row>
    <row r="195" spans="1:16" ht="15.75" customHeight="1" x14ac:dyDescent="0.35">
      <c r="A195">
        <v>193</v>
      </c>
      <c r="B195" s="2">
        <v>45498</v>
      </c>
      <c r="C195" t="s">
        <v>12</v>
      </c>
      <c r="D195" s="18" t="s">
        <v>22</v>
      </c>
      <c r="E195" s="18">
        <v>3</v>
      </c>
      <c r="F195" t="s">
        <v>48</v>
      </c>
      <c r="G195" t="s">
        <v>53</v>
      </c>
      <c r="H195" s="18" t="s">
        <v>15</v>
      </c>
      <c r="I195" s="18" t="s">
        <v>21</v>
      </c>
      <c r="J195" s="4">
        <v>45409</v>
      </c>
      <c r="K195">
        <v>1659</v>
      </c>
      <c r="L195" s="1"/>
      <c r="M195" s="7">
        <v>1.7600000000000001E-2</v>
      </c>
      <c r="N195" s="9">
        <v>7.64</v>
      </c>
      <c r="O195" s="6">
        <v>9.41</v>
      </c>
      <c r="P195" s="19">
        <f t="shared" ref="P195:P217" si="3">O195*0.001</f>
        <v>9.41E-3</v>
      </c>
    </row>
    <row r="196" spans="1:16" ht="15.75" customHeight="1" x14ac:dyDescent="0.35">
      <c r="A196">
        <v>194</v>
      </c>
      <c r="B196" s="2">
        <v>45498</v>
      </c>
      <c r="C196" t="s">
        <v>12</v>
      </c>
      <c r="D196" s="18" t="s">
        <v>22</v>
      </c>
      <c r="E196" s="18">
        <v>3</v>
      </c>
      <c r="F196" t="s">
        <v>50</v>
      </c>
      <c r="G196" t="s">
        <v>53</v>
      </c>
      <c r="H196" s="18" t="s">
        <v>15</v>
      </c>
      <c r="I196" s="18" t="s">
        <v>16</v>
      </c>
      <c r="J196" s="4">
        <v>45409</v>
      </c>
      <c r="K196">
        <v>1659</v>
      </c>
      <c r="L196" s="1"/>
      <c r="M196" s="7">
        <v>2.9399999999999999E-2</v>
      </c>
      <c r="N196" s="9">
        <v>8.19</v>
      </c>
      <c r="O196" s="6">
        <v>6.63</v>
      </c>
      <c r="P196" s="19">
        <f t="shared" si="3"/>
        <v>6.6299999999999996E-3</v>
      </c>
    </row>
    <row r="197" spans="1:16" ht="15.75" customHeight="1" x14ac:dyDescent="0.35">
      <c r="A197">
        <v>195</v>
      </c>
      <c r="B197" s="2">
        <v>45498</v>
      </c>
      <c r="C197" t="s">
        <v>12</v>
      </c>
      <c r="D197" s="18" t="s">
        <v>45</v>
      </c>
      <c r="E197" s="18">
        <v>3</v>
      </c>
      <c r="F197" t="s">
        <v>48</v>
      </c>
      <c r="G197" t="s">
        <v>53</v>
      </c>
      <c r="H197" s="18" t="s">
        <v>29</v>
      </c>
      <c r="I197" s="18" t="s">
        <v>21</v>
      </c>
      <c r="J197" s="4">
        <v>45409</v>
      </c>
      <c r="K197">
        <v>1659</v>
      </c>
      <c r="L197" s="1"/>
      <c r="M197" s="7">
        <v>3.1300000000000001E-2</v>
      </c>
      <c r="N197" s="9">
        <v>0.105</v>
      </c>
      <c r="O197" s="6">
        <v>7.75</v>
      </c>
      <c r="P197" s="19">
        <f t="shared" si="3"/>
        <v>7.7499999999999999E-3</v>
      </c>
    </row>
    <row r="198" spans="1:16" ht="15.75" customHeight="1" x14ac:dyDescent="0.35">
      <c r="A198">
        <v>196</v>
      </c>
      <c r="B198" s="2">
        <v>45498</v>
      </c>
      <c r="C198" t="s">
        <v>12</v>
      </c>
      <c r="D198" s="18" t="s">
        <v>45</v>
      </c>
      <c r="E198" s="18">
        <v>3</v>
      </c>
      <c r="F198" t="s">
        <v>21</v>
      </c>
      <c r="G198" t="s">
        <v>53</v>
      </c>
      <c r="H198" s="18" t="s">
        <v>29</v>
      </c>
      <c r="I198" s="18" t="s">
        <v>16</v>
      </c>
      <c r="J198" s="4">
        <v>45409</v>
      </c>
      <c r="K198">
        <v>1659</v>
      </c>
      <c r="L198" s="1"/>
      <c r="M198" s="7">
        <v>3.4299999999999997E-2</v>
      </c>
      <c r="N198" s="9">
        <v>0.14199999999999999</v>
      </c>
      <c r="O198" s="6">
        <v>10</v>
      </c>
      <c r="P198" s="19">
        <f t="shared" si="3"/>
        <v>0.01</v>
      </c>
    </row>
    <row r="199" spans="1:16" ht="15.75" customHeight="1" x14ac:dyDescent="0.35">
      <c r="A199">
        <v>197</v>
      </c>
      <c r="B199" s="2">
        <v>45498</v>
      </c>
      <c r="C199" t="s">
        <v>12</v>
      </c>
      <c r="D199" s="18" t="s">
        <v>24</v>
      </c>
      <c r="E199" s="18">
        <v>3</v>
      </c>
      <c r="F199" t="s">
        <v>48</v>
      </c>
      <c r="G199" t="s">
        <v>53</v>
      </c>
      <c r="H199" s="18" t="s">
        <v>27</v>
      </c>
      <c r="I199" s="18" t="s">
        <v>21</v>
      </c>
      <c r="J199" s="4">
        <v>45409</v>
      </c>
      <c r="K199">
        <v>1659</v>
      </c>
      <c r="L199" s="1"/>
      <c r="M199" s="7">
        <v>6.0400000000000002E-2</v>
      </c>
      <c r="N199" s="9">
        <v>3.44</v>
      </c>
      <c r="O199" s="6">
        <v>19.399999999999999</v>
      </c>
      <c r="P199" s="19">
        <f t="shared" si="3"/>
        <v>1.9400000000000001E-2</v>
      </c>
    </row>
    <row r="200" spans="1:16" ht="15.75" customHeight="1" x14ac:dyDescent="0.35">
      <c r="A200">
        <v>191</v>
      </c>
      <c r="B200" s="2">
        <v>45498</v>
      </c>
      <c r="C200" t="s">
        <v>12</v>
      </c>
      <c r="D200" s="18" t="s">
        <v>18</v>
      </c>
      <c r="E200" s="18">
        <v>3</v>
      </c>
      <c r="F200" t="s">
        <v>48</v>
      </c>
      <c r="G200" t="s">
        <v>53</v>
      </c>
      <c r="H200" s="18" t="s">
        <v>49</v>
      </c>
      <c r="I200" s="18" t="s">
        <v>21</v>
      </c>
      <c r="J200" s="4">
        <v>45409</v>
      </c>
      <c r="K200">
        <v>1659</v>
      </c>
      <c r="L200" s="1"/>
      <c r="M200" s="7">
        <v>2.9899999999999999E-2</v>
      </c>
      <c r="N200" s="9">
        <v>6.23</v>
      </c>
      <c r="O200" s="6">
        <v>8.94</v>
      </c>
      <c r="P200" s="19">
        <f t="shared" si="3"/>
        <v>8.94E-3</v>
      </c>
    </row>
    <row r="201" spans="1:16" ht="15.75" customHeight="1" x14ac:dyDescent="0.35">
      <c r="A201">
        <v>192</v>
      </c>
      <c r="B201" s="2">
        <v>45498</v>
      </c>
      <c r="C201" t="s">
        <v>12</v>
      </c>
      <c r="D201" s="18" t="s">
        <v>18</v>
      </c>
      <c r="E201" s="18">
        <v>3</v>
      </c>
      <c r="F201" t="s">
        <v>21</v>
      </c>
      <c r="G201" t="s">
        <v>53</v>
      </c>
      <c r="H201" s="18" t="s">
        <v>49</v>
      </c>
      <c r="I201" s="18" t="s">
        <v>16</v>
      </c>
      <c r="J201" s="4">
        <v>45409</v>
      </c>
      <c r="K201">
        <v>1659</v>
      </c>
      <c r="L201" s="1"/>
      <c r="M201" s="7">
        <v>6.08E-2</v>
      </c>
      <c r="N201" s="9">
        <v>7.04</v>
      </c>
      <c r="O201" s="6">
        <v>11.96</v>
      </c>
      <c r="P201" s="19">
        <f t="shared" si="3"/>
        <v>1.1960000000000002E-2</v>
      </c>
    </row>
    <row r="202" spans="1:16" ht="15.75" customHeight="1" x14ac:dyDescent="0.35">
      <c r="A202">
        <v>189</v>
      </c>
      <c r="B202" s="2">
        <v>45498</v>
      </c>
      <c r="C202" t="s">
        <v>12</v>
      </c>
      <c r="D202" s="18" t="s">
        <v>13</v>
      </c>
      <c r="E202" s="18">
        <v>3</v>
      </c>
      <c r="F202" t="s">
        <v>48</v>
      </c>
      <c r="G202" t="s">
        <v>53</v>
      </c>
      <c r="H202" s="18" t="s">
        <v>20</v>
      </c>
      <c r="I202" s="18" t="s">
        <v>21</v>
      </c>
      <c r="J202" s="4">
        <v>45409</v>
      </c>
      <c r="K202">
        <v>1659</v>
      </c>
      <c r="L202" s="1"/>
      <c r="M202" s="7">
        <v>3.3300000000000003E-2</v>
      </c>
      <c r="N202" s="9">
        <v>0.85099999999999998</v>
      </c>
      <c r="O202" s="6">
        <v>9.83</v>
      </c>
      <c r="P202" s="19">
        <f t="shared" si="3"/>
        <v>9.8300000000000002E-3</v>
      </c>
    </row>
    <row r="203" spans="1:16" ht="15.75" customHeight="1" x14ac:dyDescent="0.35">
      <c r="A203">
        <v>190</v>
      </c>
      <c r="B203" s="2">
        <v>45498</v>
      </c>
      <c r="C203" t="s">
        <v>12</v>
      </c>
      <c r="D203" s="18" t="s">
        <v>13</v>
      </c>
      <c r="E203" s="18">
        <v>3</v>
      </c>
      <c r="F203" t="s">
        <v>21</v>
      </c>
      <c r="G203" t="s">
        <v>53</v>
      </c>
      <c r="H203" s="18" t="s">
        <v>20</v>
      </c>
      <c r="I203" s="18" t="s">
        <v>16</v>
      </c>
      <c r="J203" s="4">
        <v>45409</v>
      </c>
      <c r="K203">
        <v>1659</v>
      </c>
      <c r="L203" s="1"/>
      <c r="M203" s="8">
        <v>0.14960000000000001</v>
      </c>
      <c r="N203" s="8">
        <v>5.84</v>
      </c>
      <c r="O203" s="8">
        <v>23.68</v>
      </c>
      <c r="P203" s="19">
        <f t="shared" si="3"/>
        <v>2.368E-2</v>
      </c>
    </row>
    <row r="204" spans="1:16" ht="15.75" customHeight="1" x14ac:dyDescent="0.35">
      <c r="A204">
        <v>198</v>
      </c>
      <c r="B204" s="2">
        <v>45498</v>
      </c>
      <c r="C204" t="s">
        <v>12</v>
      </c>
      <c r="D204" s="18" t="s">
        <v>26</v>
      </c>
      <c r="E204" s="18">
        <v>3</v>
      </c>
      <c r="F204" t="s">
        <v>48</v>
      </c>
      <c r="G204" t="s">
        <v>53</v>
      </c>
      <c r="H204" s="18" t="s">
        <v>25</v>
      </c>
      <c r="I204" s="18" t="s">
        <v>21</v>
      </c>
      <c r="J204" s="4">
        <v>45409</v>
      </c>
      <c r="K204">
        <v>1659</v>
      </c>
      <c r="L204" s="1"/>
      <c r="M204" s="7">
        <v>5.9400000000000001E-2</v>
      </c>
      <c r="N204" s="9">
        <v>8.64</v>
      </c>
      <c r="O204" s="6">
        <v>18.12</v>
      </c>
      <c r="P204" s="19">
        <f t="shared" si="3"/>
        <v>1.8120000000000001E-2</v>
      </c>
    </row>
    <row r="205" spans="1:16" ht="15.75" customHeight="1" x14ac:dyDescent="0.35">
      <c r="A205">
        <v>199</v>
      </c>
      <c r="B205" s="2">
        <v>45498</v>
      </c>
      <c r="C205" t="s">
        <v>12</v>
      </c>
      <c r="D205" s="18" t="s">
        <v>26</v>
      </c>
      <c r="E205" s="18">
        <v>3</v>
      </c>
      <c r="F205" t="s">
        <v>21</v>
      </c>
      <c r="G205" t="s">
        <v>53</v>
      </c>
      <c r="H205" s="18" t="s">
        <v>25</v>
      </c>
      <c r="I205" s="18" t="s">
        <v>16</v>
      </c>
      <c r="J205" s="4">
        <v>45409</v>
      </c>
      <c r="K205">
        <v>1659</v>
      </c>
      <c r="L205" s="1"/>
      <c r="M205" s="7">
        <v>2.8400000000000002E-2</v>
      </c>
      <c r="N205" s="9">
        <v>4.83</v>
      </c>
      <c r="O205" s="6">
        <v>13.7</v>
      </c>
      <c r="P205" s="19">
        <f t="shared" si="3"/>
        <v>1.37E-2</v>
      </c>
    </row>
    <row r="206" spans="1:16" ht="15.75" customHeight="1" x14ac:dyDescent="0.35">
      <c r="A206">
        <v>204</v>
      </c>
      <c r="B206" s="2">
        <v>45498</v>
      </c>
      <c r="C206" t="s">
        <v>12</v>
      </c>
      <c r="D206" s="18" t="s">
        <v>31</v>
      </c>
      <c r="E206" s="18">
        <v>4</v>
      </c>
      <c r="F206" t="s">
        <v>48</v>
      </c>
      <c r="G206" t="s">
        <v>53</v>
      </c>
      <c r="H206" s="18" t="s">
        <v>15</v>
      </c>
      <c r="I206" s="18" t="s">
        <v>21</v>
      </c>
      <c r="J206" s="4">
        <v>45409</v>
      </c>
      <c r="K206">
        <v>1659</v>
      </c>
      <c r="L206" s="1"/>
      <c r="M206" s="8">
        <v>3.09E-2</v>
      </c>
      <c r="N206" s="8">
        <v>1.76</v>
      </c>
      <c r="O206" s="8">
        <v>18.2</v>
      </c>
      <c r="P206" s="19">
        <f t="shared" si="3"/>
        <v>1.8200000000000001E-2</v>
      </c>
    </row>
    <row r="207" spans="1:16" ht="15.75" customHeight="1" x14ac:dyDescent="0.35">
      <c r="A207">
        <v>205</v>
      </c>
      <c r="B207" s="2">
        <v>45498</v>
      </c>
      <c r="C207" t="s">
        <v>12</v>
      </c>
      <c r="D207" s="18" t="s">
        <v>31</v>
      </c>
      <c r="E207" s="18">
        <v>4</v>
      </c>
      <c r="F207" t="s">
        <v>21</v>
      </c>
      <c r="G207" t="s">
        <v>53</v>
      </c>
      <c r="H207" s="18" t="s">
        <v>15</v>
      </c>
      <c r="I207" s="18" t="s">
        <v>16</v>
      </c>
      <c r="J207" s="4">
        <v>45409</v>
      </c>
      <c r="K207">
        <v>1659</v>
      </c>
      <c r="L207" s="1"/>
      <c r="M207" s="8">
        <v>2.9100000000000001E-2</v>
      </c>
      <c r="N207" s="8">
        <v>7.4</v>
      </c>
      <c r="O207" s="8">
        <v>12.2</v>
      </c>
      <c r="P207" s="19">
        <f t="shared" si="3"/>
        <v>1.2199999999999999E-2</v>
      </c>
    </row>
    <row r="208" spans="1:16" ht="15.75" customHeight="1" x14ac:dyDescent="0.35">
      <c r="A208">
        <v>206</v>
      </c>
      <c r="B208" s="2">
        <v>45498</v>
      </c>
      <c r="C208" t="s">
        <v>12</v>
      </c>
      <c r="D208" s="18" t="s">
        <v>46</v>
      </c>
      <c r="E208" s="18">
        <v>4</v>
      </c>
      <c r="F208" t="s">
        <v>48</v>
      </c>
      <c r="G208" t="s">
        <v>53</v>
      </c>
      <c r="H208" s="18" t="s">
        <v>29</v>
      </c>
      <c r="I208" s="18" t="s">
        <v>21</v>
      </c>
      <c r="J208" s="4">
        <v>45409</v>
      </c>
      <c r="K208">
        <v>1659</v>
      </c>
      <c r="L208" s="1"/>
      <c r="M208" s="8">
        <v>3.6499999999999998E-2</v>
      </c>
      <c r="N208" s="8">
        <v>0.17899999999999999</v>
      </c>
      <c r="O208" s="8">
        <v>10.8</v>
      </c>
      <c r="P208" s="19">
        <f t="shared" si="3"/>
        <v>1.0800000000000001E-2</v>
      </c>
    </row>
    <row r="209" spans="1:16" ht="15.75" customHeight="1" x14ac:dyDescent="0.35">
      <c r="A209">
        <v>207</v>
      </c>
      <c r="B209" s="2">
        <v>45498</v>
      </c>
      <c r="C209" t="s">
        <v>12</v>
      </c>
      <c r="D209" s="18" t="s">
        <v>46</v>
      </c>
      <c r="E209" s="18">
        <v>4</v>
      </c>
      <c r="F209" t="s">
        <v>21</v>
      </c>
      <c r="G209" t="s">
        <v>53</v>
      </c>
      <c r="H209" s="18" t="s">
        <v>29</v>
      </c>
      <c r="I209" s="18" t="s">
        <v>16</v>
      </c>
      <c r="J209" s="4">
        <v>45409</v>
      </c>
      <c r="K209">
        <v>1659</v>
      </c>
      <c r="L209" s="1"/>
      <c r="M209" s="8">
        <v>3.15E-2</v>
      </c>
      <c r="N209" s="8">
        <v>0.23300000000000001</v>
      </c>
      <c r="O209" s="8">
        <v>8.94</v>
      </c>
      <c r="P209" s="19">
        <f t="shared" si="3"/>
        <v>8.94E-3</v>
      </c>
    </row>
    <row r="210" spans="1:16" ht="15.75" customHeight="1" x14ac:dyDescent="0.35">
      <c r="A210">
        <v>200</v>
      </c>
      <c r="B210" s="2">
        <v>45498</v>
      </c>
      <c r="C210" t="s">
        <v>12</v>
      </c>
      <c r="D210" s="18" t="s">
        <v>28</v>
      </c>
      <c r="E210" s="18">
        <v>4</v>
      </c>
      <c r="F210" t="s">
        <v>48</v>
      </c>
      <c r="G210" t="s">
        <v>53</v>
      </c>
      <c r="H210" s="18" t="s">
        <v>27</v>
      </c>
      <c r="I210" s="18" t="s">
        <v>21</v>
      </c>
      <c r="J210" s="4">
        <v>45409</v>
      </c>
      <c r="K210">
        <v>1659</v>
      </c>
      <c r="L210" s="1"/>
      <c r="M210" s="7">
        <v>3.4000000000000002E-2</v>
      </c>
      <c r="N210" s="9">
        <v>6.2</v>
      </c>
      <c r="O210" s="6">
        <v>12.1</v>
      </c>
      <c r="P210" s="19">
        <f t="shared" si="3"/>
        <v>1.21E-2</v>
      </c>
    </row>
    <row r="211" spans="1:16" ht="15.75" customHeight="1" x14ac:dyDescent="0.35">
      <c r="A211">
        <v>201</v>
      </c>
      <c r="B211" s="2">
        <v>45498</v>
      </c>
      <c r="C211" t="s">
        <v>12</v>
      </c>
      <c r="D211" s="18" t="s">
        <v>28</v>
      </c>
      <c r="E211" s="18">
        <v>4</v>
      </c>
      <c r="F211" t="s">
        <v>21</v>
      </c>
      <c r="G211" t="s">
        <v>53</v>
      </c>
      <c r="H211" s="18" t="s">
        <v>27</v>
      </c>
      <c r="I211" s="18" t="s">
        <v>16</v>
      </c>
      <c r="J211" s="4">
        <v>45409</v>
      </c>
      <c r="K211">
        <v>1659</v>
      </c>
      <c r="L211" s="1"/>
      <c r="M211" s="7">
        <v>3.1E-2</v>
      </c>
      <c r="N211" s="9">
        <v>9.82</v>
      </c>
      <c r="O211" s="6">
        <v>16.3</v>
      </c>
      <c r="P211" s="19">
        <f t="shared" si="3"/>
        <v>1.6300000000000002E-2</v>
      </c>
    </row>
    <row r="212" spans="1:16" ht="15.75" customHeight="1" x14ac:dyDescent="0.35">
      <c r="A212">
        <v>202</v>
      </c>
      <c r="B212" s="2">
        <v>45498</v>
      </c>
      <c r="C212" t="s">
        <v>12</v>
      </c>
      <c r="D212" s="18" t="s">
        <v>30</v>
      </c>
      <c r="E212" s="18">
        <v>4</v>
      </c>
      <c r="F212" t="s">
        <v>48</v>
      </c>
      <c r="G212" t="s">
        <v>53</v>
      </c>
      <c r="H212" s="18" t="s">
        <v>49</v>
      </c>
      <c r="I212" s="18" t="s">
        <v>21</v>
      </c>
      <c r="J212" s="4">
        <v>45409</v>
      </c>
      <c r="K212">
        <v>1659</v>
      </c>
      <c r="L212" s="1"/>
      <c r="M212" s="8">
        <v>5.8999999999999997E-2</v>
      </c>
      <c r="N212" s="8">
        <v>11.1</v>
      </c>
      <c r="O212" s="8">
        <v>14.5</v>
      </c>
      <c r="P212" s="19">
        <f t="shared" si="3"/>
        <v>1.4500000000000001E-2</v>
      </c>
    </row>
    <row r="213" spans="1:16" ht="15.75" customHeight="1" x14ac:dyDescent="0.35">
      <c r="A213">
        <v>203</v>
      </c>
      <c r="B213" s="2">
        <v>45498</v>
      </c>
      <c r="C213" t="s">
        <v>12</v>
      </c>
      <c r="D213" s="18" t="s">
        <v>30</v>
      </c>
      <c r="E213" s="18">
        <v>4</v>
      </c>
      <c r="F213" t="s">
        <v>21</v>
      </c>
      <c r="G213" t="s">
        <v>53</v>
      </c>
      <c r="H213" s="18" t="s">
        <v>49</v>
      </c>
      <c r="I213" s="18" t="s">
        <v>16</v>
      </c>
      <c r="J213" s="4">
        <v>45409</v>
      </c>
      <c r="K213">
        <v>1659</v>
      </c>
      <c r="L213" s="1"/>
      <c r="M213" s="8">
        <v>3.04E-2</v>
      </c>
      <c r="N213" s="8">
        <v>3.12</v>
      </c>
      <c r="O213" s="8">
        <v>7.83</v>
      </c>
      <c r="P213" s="19">
        <f t="shared" si="3"/>
        <v>7.8300000000000002E-3</v>
      </c>
    </row>
    <row r="214" spans="1:16" ht="15.75" customHeight="1" x14ac:dyDescent="0.35">
      <c r="A214">
        <v>208</v>
      </c>
      <c r="B214" s="2">
        <v>45498</v>
      </c>
      <c r="C214" t="s">
        <v>12</v>
      </c>
      <c r="D214" s="18" t="s">
        <v>32</v>
      </c>
      <c r="E214" s="18">
        <v>4</v>
      </c>
      <c r="F214" t="s">
        <v>48</v>
      </c>
      <c r="G214" t="s">
        <v>53</v>
      </c>
      <c r="H214" s="18" t="s">
        <v>20</v>
      </c>
      <c r="I214" s="18" t="s">
        <v>21</v>
      </c>
      <c r="J214" s="4">
        <v>45409</v>
      </c>
      <c r="K214">
        <v>1659</v>
      </c>
      <c r="L214" s="1"/>
      <c r="M214" s="8">
        <v>3.4599999999999999E-2</v>
      </c>
      <c r="N214" s="8">
        <v>10.199999999999999</v>
      </c>
      <c r="O214" s="8">
        <v>11.3</v>
      </c>
      <c r="P214" s="19">
        <f t="shared" si="3"/>
        <v>1.1300000000000001E-2</v>
      </c>
    </row>
    <row r="215" spans="1:16" ht="15.75" customHeight="1" x14ac:dyDescent="0.35">
      <c r="A215">
        <v>209</v>
      </c>
      <c r="B215" s="2">
        <v>45498</v>
      </c>
      <c r="C215" t="s">
        <v>12</v>
      </c>
      <c r="D215" s="18" t="s">
        <v>32</v>
      </c>
      <c r="E215" s="18">
        <v>4</v>
      </c>
      <c r="F215" t="s">
        <v>21</v>
      </c>
      <c r="G215" t="s">
        <v>53</v>
      </c>
      <c r="H215" s="18" t="s">
        <v>20</v>
      </c>
      <c r="I215" s="18" t="s">
        <v>16</v>
      </c>
      <c r="J215" s="4">
        <v>45409</v>
      </c>
      <c r="K215">
        <v>1659</v>
      </c>
      <c r="L215" s="1"/>
      <c r="M215" s="8">
        <v>6.08E-2</v>
      </c>
      <c r="N215" s="8">
        <v>8.86</v>
      </c>
      <c r="O215" s="8">
        <v>15.16</v>
      </c>
      <c r="P215" s="19">
        <f t="shared" si="3"/>
        <v>1.516E-2</v>
      </c>
    </row>
    <row r="216" spans="1:16" ht="15.75" customHeight="1" x14ac:dyDescent="0.35">
      <c r="A216">
        <v>210</v>
      </c>
      <c r="B216" s="2">
        <v>45498</v>
      </c>
      <c r="C216" t="s">
        <v>12</v>
      </c>
      <c r="D216" s="18" t="s">
        <v>33</v>
      </c>
      <c r="E216" s="18">
        <v>4</v>
      </c>
      <c r="F216" t="s">
        <v>48</v>
      </c>
      <c r="G216" t="s">
        <v>53</v>
      </c>
      <c r="H216" s="18" t="s">
        <v>25</v>
      </c>
      <c r="I216" s="18" t="s">
        <v>21</v>
      </c>
      <c r="J216" s="4">
        <v>45409</v>
      </c>
      <c r="K216">
        <v>1659</v>
      </c>
      <c r="L216" s="1"/>
      <c r="M216" s="8">
        <v>3.1199999999999999E-2</v>
      </c>
      <c r="N216" s="8">
        <v>5.93</v>
      </c>
      <c r="O216" s="8">
        <v>11.4</v>
      </c>
      <c r="P216" s="19">
        <f t="shared" si="3"/>
        <v>1.14E-2</v>
      </c>
    </row>
    <row r="217" spans="1:16" ht="15.75" customHeight="1" x14ac:dyDescent="0.35">
      <c r="A217">
        <v>211</v>
      </c>
      <c r="B217" s="2">
        <v>45498</v>
      </c>
      <c r="C217" t="s">
        <v>12</v>
      </c>
      <c r="D217" s="18" t="s">
        <v>33</v>
      </c>
      <c r="E217" s="18">
        <v>4</v>
      </c>
      <c r="F217" t="s">
        <v>21</v>
      </c>
      <c r="G217" t="s">
        <v>53</v>
      </c>
      <c r="H217" s="18" t="s">
        <v>25</v>
      </c>
      <c r="I217" s="18" t="s">
        <v>16</v>
      </c>
      <c r="J217" s="4">
        <v>45409</v>
      </c>
      <c r="K217">
        <v>1659</v>
      </c>
      <c r="L217" s="1"/>
      <c r="M217" s="8">
        <v>3.6700000000000003E-2</v>
      </c>
      <c r="N217" s="8">
        <v>3.2</v>
      </c>
      <c r="O217" s="8">
        <v>10.1</v>
      </c>
      <c r="P217" s="19">
        <f t="shared" si="3"/>
        <v>1.01E-2</v>
      </c>
    </row>
    <row r="218" spans="1:16" ht="15.75" customHeight="1" x14ac:dyDescent="0.35">
      <c r="B218" s="2"/>
      <c r="J218" s="5"/>
      <c r="L218" s="1"/>
      <c r="M218" s="8"/>
      <c r="N218" s="8"/>
      <c r="O218" s="8"/>
    </row>
    <row r="219" spans="1:16" ht="15.75" customHeight="1" x14ac:dyDescent="0.35">
      <c r="B219" s="2"/>
      <c r="J219" s="5"/>
      <c r="L219" s="1"/>
      <c r="M219" s="8"/>
      <c r="N219" s="8"/>
      <c r="O219" s="8"/>
    </row>
    <row r="220" spans="1:16" ht="15.75" customHeight="1" x14ac:dyDescent="0.35">
      <c r="B220" s="2"/>
      <c r="J220" s="5"/>
      <c r="L220" s="1"/>
      <c r="M220" s="8"/>
      <c r="N220" s="8"/>
      <c r="O220" s="8"/>
    </row>
    <row r="221" spans="1:16" ht="15.75" customHeight="1" x14ac:dyDescent="0.35">
      <c r="B221" s="2"/>
      <c r="J221" s="5"/>
      <c r="L221" s="1"/>
      <c r="M221" s="8"/>
      <c r="N221" s="8"/>
      <c r="O221" s="8"/>
    </row>
    <row r="222" spans="1:16" ht="15.75" customHeight="1" x14ac:dyDescent="0.35">
      <c r="B222" s="2"/>
      <c r="J222" s="5"/>
      <c r="L222" s="1"/>
      <c r="M222" s="8"/>
      <c r="N222" s="8"/>
      <c r="O222" s="8"/>
    </row>
    <row r="223" spans="1:16" ht="15.75" customHeight="1" x14ac:dyDescent="0.35">
      <c r="B223" s="2"/>
      <c r="C223" s="3"/>
      <c r="J223" s="5"/>
      <c r="K223" s="1"/>
      <c r="L223" s="1"/>
      <c r="M223" s="8"/>
      <c r="N223" s="8"/>
      <c r="O223" s="8"/>
    </row>
    <row r="224" spans="1:16" ht="15.75" customHeight="1" x14ac:dyDescent="0.35">
      <c r="B224" s="2"/>
      <c r="C224" s="3"/>
      <c r="J224" s="5"/>
      <c r="K224" s="1"/>
      <c r="L224" s="1"/>
      <c r="M224" s="8"/>
      <c r="N224" s="8"/>
      <c r="O224" s="8"/>
    </row>
    <row r="225" spans="2:15" ht="15.75" customHeight="1" x14ac:dyDescent="0.35">
      <c r="B225" s="2"/>
      <c r="C225" s="3"/>
      <c r="J225" s="5"/>
      <c r="K225" s="1"/>
      <c r="L225" s="1"/>
      <c r="M225" s="8"/>
      <c r="N225" s="8"/>
      <c r="O225" s="8"/>
    </row>
    <row r="226" spans="2:15" ht="15.75" customHeight="1" x14ac:dyDescent="0.35">
      <c r="B226" s="2"/>
      <c r="C226" s="3"/>
      <c r="J226" s="5"/>
      <c r="K226" s="1"/>
      <c r="L226" s="1"/>
      <c r="M226" s="8"/>
      <c r="N226" s="8"/>
      <c r="O226" s="8"/>
    </row>
    <row r="227" spans="2:15" ht="15.75" customHeight="1" x14ac:dyDescent="0.35">
      <c r="B227" s="2"/>
      <c r="C227" s="3"/>
      <c r="J227" s="5"/>
      <c r="K227" s="1"/>
      <c r="L227" s="1"/>
      <c r="M227" s="8"/>
      <c r="N227" s="8"/>
      <c r="O227" s="8"/>
    </row>
    <row r="228" spans="2:15" ht="15.75" customHeight="1" x14ac:dyDescent="0.35">
      <c r="B228" s="2"/>
      <c r="C228" s="3"/>
      <c r="J228" s="5"/>
      <c r="K228" s="1"/>
      <c r="L228" s="1"/>
      <c r="M228" s="8"/>
      <c r="N228" s="8"/>
      <c r="O228" s="8"/>
    </row>
    <row r="229" spans="2:15" ht="15.75" customHeight="1" x14ac:dyDescent="0.35">
      <c r="B229" s="2"/>
      <c r="C229" s="3"/>
      <c r="J229" s="5"/>
      <c r="K229" s="1"/>
      <c r="L229" s="1"/>
      <c r="M229" s="8"/>
      <c r="N229" s="8"/>
      <c r="O229" s="8"/>
    </row>
    <row r="230" spans="2:15" ht="15.75" customHeight="1" x14ac:dyDescent="0.35">
      <c r="B230" s="2"/>
      <c r="C230" s="3"/>
      <c r="J230" s="5"/>
      <c r="K230" s="1"/>
      <c r="L230" s="1"/>
      <c r="M230" s="8"/>
      <c r="N230" s="8"/>
      <c r="O230" s="8"/>
    </row>
    <row r="231" spans="2:15" ht="15.75" customHeight="1" x14ac:dyDescent="0.35">
      <c r="B231" s="2"/>
      <c r="C231" s="3"/>
      <c r="J231" s="5"/>
      <c r="K231" s="1"/>
      <c r="L231" s="1"/>
      <c r="M231" s="8"/>
      <c r="N231" s="8"/>
      <c r="O231" s="8"/>
    </row>
    <row r="232" spans="2:15" ht="15.75" customHeight="1" x14ac:dyDescent="0.35">
      <c r="B232" s="2"/>
      <c r="C232" s="3"/>
      <c r="J232" s="5"/>
      <c r="K232" s="1"/>
      <c r="L232" s="1"/>
      <c r="M232" s="8"/>
      <c r="N232" s="8"/>
      <c r="O232" s="8"/>
    </row>
    <row r="233" spans="2:15" ht="15.75" customHeight="1" x14ac:dyDescent="0.35">
      <c r="B233" s="2"/>
      <c r="C233" s="3"/>
      <c r="J233" s="5"/>
      <c r="K233" s="1"/>
      <c r="L233" s="1"/>
      <c r="M233" s="8"/>
      <c r="N233" s="8"/>
      <c r="O233" s="8"/>
    </row>
    <row r="234" spans="2:15" ht="15.75" customHeight="1" x14ac:dyDescent="0.35">
      <c r="B234" s="2"/>
      <c r="C234" s="3"/>
      <c r="J234" s="5"/>
      <c r="K234" s="1"/>
      <c r="L234" s="1"/>
      <c r="M234" s="8"/>
      <c r="N234" s="8"/>
      <c r="O234" s="8"/>
    </row>
    <row r="235" spans="2:15" ht="15.75" customHeight="1" x14ac:dyDescent="0.35">
      <c r="B235" s="2"/>
      <c r="C235" s="3"/>
      <c r="J235" s="5"/>
      <c r="K235" s="1"/>
      <c r="L235" s="1"/>
      <c r="M235" s="8"/>
      <c r="N235" s="8"/>
      <c r="O235" s="8"/>
    </row>
    <row r="236" spans="2:15" ht="15.75" customHeight="1" x14ac:dyDescent="0.35">
      <c r="B236" s="2"/>
      <c r="C236" s="3"/>
      <c r="J236" s="5"/>
      <c r="K236" s="1"/>
      <c r="L236" s="1"/>
      <c r="M236" s="8"/>
      <c r="N236" s="8"/>
      <c r="O236" s="8"/>
    </row>
    <row r="237" spans="2:15" ht="15.75" customHeight="1" x14ac:dyDescent="0.35">
      <c r="B237" s="2"/>
      <c r="C237" s="3"/>
      <c r="J237" s="5"/>
      <c r="K237" s="1"/>
      <c r="L237" s="1"/>
      <c r="M237" s="8"/>
      <c r="N237" s="8"/>
      <c r="O237" s="8"/>
    </row>
    <row r="238" spans="2:15" ht="15.75" customHeight="1" x14ac:dyDescent="0.35">
      <c r="B238" s="2"/>
      <c r="C238" s="3"/>
      <c r="J238" s="5"/>
      <c r="K238" s="1"/>
      <c r="L238" s="1"/>
      <c r="M238" s="8"/>
      <c r="N238" s="8"/>
      <c r="O238" s="8"/>
    </row>
    <row r="239" spans="2:15" ht="15.75" customHeight="1" x14ac:dyDescent="0.35">
      <c r="B239" s="2"/>
      <c r="C239" s="3"/>
      <c r="J239" s="5"/>
      <c r="K239" s="1"/>
      <c r="L239" s="1"/>
      <c r="M239" s="8"/>
      <c r="N239" s="8"/>
      <c r="O239" s="8"/>
    </row>
    <row r="240" spans="2:15" ht="15.75" customHeight="1" x14ac:dyDescent="0.35">
      <c r="B240" s="2"/>
      <c r="C240" s="3"/>
      <c r="J240" s="5"/>
      <c r="K240" s="1"/>
      <c r="L240" s="1"/>
      <c r="M240" s="8"/>
      <c r="N240" s="8"/>
      <c r="O240" s="8"/>
    </row>
    <row r="241" spans="2:15" ht="15.75" customHeight="1" x14ac:dyDescent="0.35">
      <c r="B241" s="2"/>
      <c r="C241" s="3"/>
      <c r="J241" s="5"/>
      <c r="K241" s="1"/>
      <c r="L241" s="1"/>
      <c r="M241" s="8"/>
      <c r="N241" s="8"/>
      <c r="O241" s="8"/>
    </row>
    <row r="242" spans="2:15" ht="15.75" customHeight="1" x14ac:dyDescent="0.35">
      <c r="B242" s="2"/>
      <c r="C242" s="3"/>
      <c r="J242" s="5"/>
      <c r="K242" s="1"/>
      <c r="L242" s="1"/>
      <c r="M242" s="8"/>
      <c r="N242" s="8"/>
      <c r="O242" s="8"/>
    </row>
    <row r="243" spans="2:15" ht="15.75" customHeight="1" x14ac:dyDescent="0.35">
      <c r="B243" s="2"/>
      <c r="C243" s="3"/>
      <c r="J243" s="5"/>
      <c r="K243" s="1"/>
      <c r="L243" s="1"/>
      <c r="M243" s="8"/>
      <c r="N243" s="8"/>
      <c r="O243" s="8"/>
    </row>
    <row r="244" spans="2:15" ht="15.75" customHeight="1" x14ac:dyDescent="0.35">
      <c r="B244" s="2"/>
      <c r="C244" s="3"/>
      <c r="J244" s="5"/>
      <c r="K244" s="1"/>
      <c r="L244" s="1"/>
      <c r="M244" s="8"/>
      <c r="N244" s="8"/>
      <c r="O244" s="8"/>
    </row>
    <row r="245" spans="2:15" ht="15.75" customHeight="1" x14ac:dyDescent="0.35">
      <c r="B245" s="2"/>
      <c r="C245" s="3"/>
      <c r="J245" s="5"/>
      <c r="K245" s="1"/>
      <c r="L245" s="1"/>
      <c r="M245" s="8"/>
      <c r="N245" s="8"/>
      <c r="O245" s="8"/>
    </row>
    <row r="246" spans="2:15" ht="15.75" customHeight="1" x14ac:dyDescent="0.35">
      <c r="B246" s="2"/>
      <c r="C246" s="3"/>
      <c r="J246" s="5"/>
      <c r="K246" s="1"/>
      <c r="L246" s="1"/>
      <c r="M246" s="8"/>
      <c r="N246" s="8"/>
      <c r="O246" s="8"/>
    </row>
    <row r="247" spans="2:15" ht="15.75" customHeight="1" x14ac:dyDescent="0.35">
      <c r="B247" s="2"/>
      <c r="C247" s="3"/>
      <c r="J247" s="5"/>
      <c r="K247" s="1"/>
      <c r="L247" s="1"/>
      <c r="M247" s="8"/>
      <c r="N247" s="8"/>
      <c r="O247" s="8"/>
    </row>
    <row r="248" spans="2:15" ht="15.75" customHeight="1" x14ac:dyDescent="0.35">
      <c r="B248" s="2"/>
      <c r="C248" s="3"/>
      <c r="J248" s="5"/>
      <c r="K248" s="1"/>
      <c r="L248" s="1"/>
      <c r="M248" s="8"/>
      <c r="N248" s="8"/>
      <c r="O248" s="8"/>
    </row>
    <row r="249" spans="2:15" ht="15.75" customHeight="1" x14ac:dyDescent="0.35">
      <c r="B249" s="2"/>
      <c r="C249" s="3"/>
      <c r="J249" s="5"/>
      <c r="K249" s="1"/>
      <c r="L249" s="1"/>
      <c r="M249" s="8"/>
      <c r="N249" s="8"/>
      <c r="O249" s="8"/>
    </row>
    <row r="250" spans="2:15" ht="15.75" customHeight="1" x14ac:dyDescent="0.35">
      <c r="B250" s="2"/>
      <c r="C250" s="3"/>
      <c r="J250" s="5"/>
      <c r="K250" s="1"/>
      <c r="L250" s="1"/>
      <c r="M250" s="8"/>
      <c r="N250" s="8"/>
      <c r="O250" s="8"/>
    </row>
    <row r="251" spans="2:15" ht="15.75" customHeight="1" x14ac:dyDescent="0.35">
      <c r="B251" s="2"/>
      <c r="C251" s="3"/>
      <c r="J251" s="5"/>
      <c r="K251" s="1"/>
      <c r="L251" s="1"/>
      <c r="M251" s="8"/>
      <c r="N251" s="8"/>
      <c r="O251" s="8"/>
    </row>
    <row r="252" spans="2:15" ht="15.75" customHeight="1" x14ac:dyDescent="0.35">
      <c r="B252" s="2"/>
      <c r="C252" s="3"/>
      <c r="J252" s="5"/>
      <c r="K252" s="1"/>
      <c r="L252" s="1"/>
      <c r="M252" s="8"/>
      <c r="N252" s="8"/>
      <c r="O252" s="8"/>
    </row>
    <row r="253" spans="2:15" ht="15.75" customHeight="1" x14ac:dyDescent="0.35">
      <c r="B253" s="2"/>
      <c r="C253" s="3"/>
      <c r="J253" s="5"/>
      <c r="K253" s="1"/>
      <c r="L253" s="1"/>
      <c r="M253" s="8"/>
      <c r="N253" s="8"/>
      <c r="O253" s="8"/>
    </row>
    <row r="254" spans="2:15" ht="15.75" customHeight="1" x14ac:dyDescent="0.35">
      <c r="B254" s="2"/>
      <c r="C254" s="3"/>
      <c r="J254" s="5"/>
      <c r="K254" s="1"/>
      <c r="L254" s="1"/>
      <c r="M254" s="8"/>
      <c r="N254" s="8"/>
      <c r="O254" s="8"/>
    </row>
    <row r="255" spans="2:15" ht="15.75" customHeight="1" x14ac:dyDescent="0.35">
      <c r="B255" s="2"/>
      <c r="C255" s="3"/>
      <c r="J255" s="5"/>
      <c r="K255" s="1"/>
      <c r="L255" s="1"/>
      <c r="M255" s="8"/>
      <c r="N255" s="8"/>
      <c r="O255" s="8"/>
    </row>
    <row r="256" spans="2:15" ht="15.75" customHeight="1" x14ac:dyDescent="0.35">
      <c r="B256" s="2"/>
      <c r="C256" s="3"/>
      <c r="J256" s="5"/>
      <c r="K256" s="1"/>
      <c r="L256" s="1"/>
      <c r="M256" s="8"/>
      <c r="N256" s="8"/>
      <c r="O256" s="8"/>
    </row>
    <row r="257" spans="2:15" ht="15.75" customHeight="1" x14ac:dyDescent="0.35">
      <c r="B257" s="2"/>
      <c r="C257" s="3"/>
      <c r="J257" s="5"/>
      <c r="K257" s="1"/>
      <c r="L257" s="1"/>
      <c r="M257" s="8"/>
      <c r="N257" s="8"/>
      <c r="O257" s="8"/>
    </row>
    <row r="258" spans="2:15" ht="15.75" customHeight="1" x14ac:dyDescent="0.35">
      <c r="B258" s="2"/>
      <c r="C258" s="3"/>
      <c r="J258" s="5"/>
      <c r="K258" s="1"/>
      <c r="L258" s="1"/>
      <c r="M258" s="8"/>
      <c r="N258" s="8"/>
      <c r="O258" s="8"/>
    </row>
    <row r="259" spans="2:15" ht="15.75" customHeight="1" x14ac:dyDescent="0.35">
      <c r="B259" s="2"/>
      <c r="C259" s="3"/>
      <c r="J259" s="5"/>
      <c r="K259" s="1"/>
      <c r="L259" s="1"/>
      <c r="M259" s="8"/>
      <c r="N259" s="8"/>
      <c r="O259" s="8"/>
    </row>
    <row r="260" spans="2:15" ht="15.75" customHeight="1" x14ac:dyDescent="0.35">
      <c r="B260" s="2"/>
      <c r="C260" s="3"/>
      <c r="J260" s="5"/>
      <c r="K260" s="1"/>
      <c r="L260" s="1"/>
      <c r="M260" s="8"/>
      <c r="N260" s="8"/>
      <c r="O260" s="8"/>
    </row>
    <row r="261" spans="2:15" ht="15.75" customHeight="1" x14ac:dyDescent="0.35">
      <c r="B261" s="2"/>
      <c r="C261" s="3"/>
      <c r="J261" s="5"/>
      <c r="K261" s="1"/>
      <c r="L261" s="1"/>
      <c r="M261" s="8"/>
      <c r="N261" s="8"/>
      <c r="O261" s="8"/>
    </row>
    <row r="262" spans="2:15" ht="15.75" customHeight="1" x14ac:dyDescent="0.35">
      <c r="B262" s="2"/>
      <c r="C262" s="3"/>
      <c r="J262" s="5"/>
      <c r="K262" s="1"/>
      <c r="L262" s="1"/>
      <c r="M262" s="8"/>
      <c r="N262" s="8"/>
      <c r="O262" s="8"/>
    </row>
    <row r="263" spans="2:15" ht="15.75" customHeight="1" x14ac:dyDescent="0.35">
      <c r="B263" s="2"/>
      <c r="C263" s="3"/>
      <c r="J263" s="5"/>
      <c r="K263" s="1"/>
      <c r="L263" s="1"/>
      <c r="M263" s="8"/>
      <c r="N263" s="8"/>
      <c r="O263" s="8"/>
    </row>
    <row r="264" spans="2:15" ht="15.75" customHeight="1" x14ac:dyDescent="0.35">
      <c r="B264" s="2"/>
      <c r="C264" s="3"/>
      <c r="J264" s="5"/>
      <c r="K264" s="1"/>
      <c r="L264" s="1"/>
      <c r="M264" s="8"/>
      <c r="N264" s="8"/>
      <c r="O264" s="8"/>
    </row>
    <row r="265" spans="2:15" ht="15.75" customHeight="1" x14ac:dyDescent="0.35">
      <c r="B265" s="2"/>
      <c r="C265" s="3"/>
      <c r="J265" s="5"/>
      <c r="K265" s="1"/>
      <c r="L265" s="1"/>
      <c r="M265" s="8"/>
      <c r="N265" s="8"/>
      <c r="O265" s="8"/>
    </row>
    <row r="266" spans="2:15" ht="15.75" customHeight="1" x14ac:dyDescent="0.35">
      <c r="B266" s="2"/>
      <c r="C266" s="3"/>
      <c r="J266" s="5"/>
      <c r="K266" s="1"/>
      <c r="L266" s="1"/>
      <c r="M266" s="8"/>
      <c r="N266" s="8"/>
      <c r="O266" s="8"/>
    </row>
    <row r="267" spans="2:15" ht="15.75" customHeight="1" x14ac:dyDescent="0.35">
      <c r="B267" s="2"/>
      <c r="C267" s="3"/>
      <c r="J267" s="5"/>
      <c r="K267" s="1"/>
      <c r="L267" s="1"/>
      <c r="M267" s="8"/>
      <c r="N267" s="8"/>
      <c r="O267" s="8"/>
    </row>
    <row r="268" spans="2:15" ht="15.75" customHeight="1" x14ac:dyDescent="0.35">
      <c r="B268" s="2"/>
      <c r="C268" s="3"/>
      <c r="J268" s="5"/>
      <c r="K268" s="1"/>
      <c r="L268" s="1"/>
      <c r="M268" s="8"/>
      <c r="N268" s="8"/>
      <c r="O268" s="8"/>
    </row>
    <row r="269" spans="2:15" ht="15.75" customHeight="1" x14ac:dyDescent="0.35">
      <c r="B269" s="2"/>
      <c r="C269" s="3"/>
      <c r="J269" s="5"/>
      <c r="K269" s="1"/>
      <c r="L269" s="1"/>
      <c r="M269" s="8"/>
      <c r="N269" s="8"/>
      <c r="O269" s="8"/>
    </row>
    <row r="270" spans="2:15" ht="15.75" customHeight="1" x14ac:dyDescent="0.35">
      <c r="B270" s="2"/>
      <c r="C270" s="3"/>
      <c r="J270" s="5"/>
      <c r="K270" s="1"/>
      <c r="L270" s="1"/>
      <c r="M270" s="8"/>
      <c r="N270" s="8"/>
      <c r="O270" s="8"/>
    </row>
    <row r="271" spans="2:15" ht="15.75" customHeight="1" x14ac:dyDescent="0.35">
      <c r="B271" s="2"/>
      <c r="C271" s="3"/>
      <c r="J271" s="5"/>
      <c r="K271" s="1"/>
      <c r="L271" s="1"/>
      <c r="M271" s="8"/>
      <c r="N271" s="8"/>
      <c r="O271" s="8"/>
    </row>
    <row r="272" spans="2:15" ht="15.75" customHeight="1" x14ac:dyDescent="0.35">
      <c r="B272" s="2"/>
      <c r="C272" s="3"/>
      <c r="J272" s="5"/>
      <c r="K272" s="1"/>
      <c r="L272" s="1"/>
      <c r="M272" s="8"/>
      <c r="N272" s="8"/>
      <c r="O272" s="8"/>
    </row>
    <row r="273" spans="2:15" ht="15.75" customHeight="1" x14ac:dyDescent="0.35">
      <c r="B273" s="2"/>
      <c r="C273" s="3"/>
      <c r="J273" s="5"/>
      <c r="K273" s="1"/>
      <c r="L273" s="1"/>
      <c r="M273" s="8"/>
      <c r="N273" s="8"/>
      <c r="O273" s="8"/>
    </row>
    <row r="274" spans="2:15" ht="15.75" customHeight="1" x14ac:dyDescent="0.35">
      <c r="B274" s="2"/>
      <c r="C274" s="3"/>
      <c r="J274" s="5"/>
      <c r="K274" s="1"/>
      <c r="L274" s="1"/>
      <c r="M274" s="8"/>
      <c r="N274" s="8"/>
      <c r="O274" s="8"/>
    </row>
    <row r="275" spans="2:15" ht="15.75" customHeight="1" x14ac:dyDescent="0.35">
      <c r="B275" s="2"/>
      <c r="C275" s="3"/>
      <c r="J275" s="5"/>
      <c r="K275" s="1"/>
      <c r="L275" s="1"/>
      <c r="M275" s="8"/>
      <c r="N275" s="8"/>
      <c r="O275" s="8"/>
    </row>
    <row r="276" spans="2:15" ht="15.75" customHeight="1" x14ac:dyDescent="0.35">
      <c r="B276" s="2"/>
      <c r="C276" s="3"/>
      <c r="J276" s="5"/>
      <c r="K276" s="1"/>
      <c r="L276" s="1"/>
      <c r="M276" s="8"/>
      <c r="N276" s="8"/>
      <c r="O276" s="8"/>
    </row>
    <row r="277" spans="2:15" ht="15.75" customHeight="1" x14ac:dyDescent="0.35">
      <c r="B277" s="2"/>
      <c r="C277" s="3"/>
      <c r="J277" s="5"/>
      <c r="K277" s="1"/>
      <c r="L277" s="1"/>
      <c r="M277" s="8"/>
      <c r="N277" s="8"/>
      <c r="O277" s="8"/>
    </row>
    <row r="278" spans="2:15" ht="15.75" customHeight="1" x14ac:dyDescent="0.35">
      <c r="B278" s="2"/>
      <c r="C278" s="3"/>
      <c r="J278" s="5"/>
      <c r="K278" s="1"/>
      <c r="L278" s="1"/>
      <c r="M278" s="8"/>
      <c r="N278" s="8"/>
      <c r="O278" s="8"/>
    </row>
    <row r="279" spans="2:15" ht="15.75" customHeight="1" x14ac:dyDescent="0.35">
      <c r="B279" s="2"/>
      <c r="C279" s="3"/>
      <c r="J279" s="5"/>
      <c r="K279" s="1"/>
      <c r="L279" s="1"/>
      <c r="M279" s="8"/>
      <c r="N279" s="8"/>
      <c r="O279" s="8"/>
    </row>
    <row r="280" spans="2:15" ht="15.75" customHeight="1" x14ac:dyDescent="0.35">
      <c r="B280" s="2"/>
      <c r="C280" s="3"/>
      <c r="J280" s="5"/>
      <c r="K280" s="1"/>
      <c r="L280" s="1"/>
      <c r="M280" s="8"/>
      <c r="N280" s="8"/>
      <c r="O280" s="8"/>
    </row>
    <row r="281" spans="2:15" ht="15.75" customHeight="1" x14ac:dyDescent="0.35">
      <c r="B281" s="2"/>
      <c r="C281" s="3"/>
      <c r="J281" s="5"/>
      <c r="K281" s="1"/>
      <c r="L281" s="1"/>
      <c r="M281" s="8"/>
      <c r="N281" s="8"/>
      <c r="O281" s="8"/>
    </row>
    <row r="282" spans="2:15" ht="15.75" customHeight="1" x14ac:dyDescent="0.35">
      <c r="B282" s="2"/>
      <c r="C282" s="3"/>
      <c r="J282" s="5"/>
      <c r="K282" s="1"/>
      <c r="L282" s="1"/>
      <c r="M282" s="8"/>
      <c r="N282" s="8"/>
      <c r="O282" s="8"/>
    </row>
    <row r="283" spans="2:15" ht="15.75" customHeight="1" x14ac:dyDescent="0.35">
      <c r="B283" s="2"/>
      <c r="C283" s="3"/>
      <c r="J283" s="5"/>
      <c r="K283" s="1"/>
      <c r="L283" s="1"/>
      <c r="M283" s="8"/>
      <c r="N283" s="8"/>
      <c r="O283" s="8"/>
    </row>
    <row r="284" spans="2:15" ht="15.75" customHeight="1" x14ac:dyDescent="0.35">
      <c r="B284" s="2"/>
      <c r="C284" s="3"/>
      <c r="J284" s="5"/>
      <c r="K284" s="1"/>
      <c r="L284" s="1"/>
      <c r="M284" s="8"/>
      <c r="N284" s="8"/>
      <c r="O284" s="8"/>
    </row>
    <row r="285" spans="2:15" ht="15.75" customHeight="1" x14ac:dyDescent="0.35">
      <c r="B285" s="2"/>
      <c r="C285" s="3"/>
      <c r="J285" s="5"/>
      <c r="K285" s="1"/>
      <c r="L285" s="1"/>
      <c r="M285" s="8"/>
      <c r="N285" s="8"/>
      <c r="O285" s="8"/>
    </row>
    <row r="286" spans="2:15" ht="15.75" customHeight="1" x14ac:dyDescent="0.35">
      <c r="B286" s="2"/>
      <c r="C286" s="3"/>
      <c r="J286" s="5"/>
      <c r="K286" s="1"/>
      <c r="L286" s="1"/>
      <c r="M286" s="8"/>
      <c r="N286" s="8"/>
      <c r="O286" s="8"/>
    </row>
    <row r="287" spans="2:15" ht="15.75" customHeight="1" x14ac:dyDescent="0.35">
      <c r="B287" s="2"/>
      <c r="C287" s="3"/>
      <c r="J287" s="5"/>
      <c r="K287" s="1"/>
      <c r="L287" s="1"/>
      <c r="M287" s="8"/>
      <c r="N287" s="8"/>
      <c r="O287" s="8"/>
    </row>
    <row r="288" spans="2:15" ht="15.75" customHeight="1" x14ac:dyDescent="0.35">
      <c r="B288" s="2"/>
      <c r="C288" s="3"/>
      <c r="J288" s="5"/>
      <c r="K288" s="1"/>
      <c r="L288" s="1"/>
      <c r="M288" s="8"/>
      <c r="N288" s="8"/>
      <c r="O288" s="8"/>
    </row>
    <row r="289" spans="2:15" ht="15.75" customHeight="1" x14ac:dyDescent="0.35">
      <c r="B289" s="2"/>
      <c r="C289" s="3"/>
      <c r="J289" s="5"/>
      <c r="K289" s="1"/>
      <c r="L289" s="1"/>
      <c r="M289" s="8"/>
      <c r="N289" s="8"/>
      <c r="O289" s="8"/>
    </row>
    <row r="290" spans="2:15" ht="15.75" customHeight="1" x14ac:dyDescent="0.35">
      <c r="B290" s="2"/>
      <c r="C290" s="3"/>
      <c r="J290" s="5"/>
      <c r="K290" s="1"/>
      <c r="L290" s="1"/>
      <c r="M290" s="8"/>
      <c r="N290" s="8"/>
      <c r="O290" s="8"/>
    </row>
    <row r="291" spans="2:15" ht="15.75" customHeight="1" x14ac:dyDescent="0.35">
      <c r="B291" s="2"/>
      <c r="C291" s="3"/>
      <c r="J291" s="5"/>
      <c r="K291" s="1"/>
      <c r="L291" s="1"/>
      <c r="M291" s="8"/>
      <c r="N291" s="8"/>
      <c r="O291" s="8"/>
    </row>
    <row r="292" spans="2:15" ht="15.75" customHeight="1" x14ac:dyDescent="0.35">
      <c r="B292" s="2"/>
      <c r="C292" s="3"/>
      <c r="J292" s="5"/>
      <c r="K292" s="1"/>
      <c r="L292" s="1"/>
      <c r="M292" s="8"/>
      <c r="N292" s="8"/>
      <c r="O292" s="8"/>
    </row>
    <row r="293" spans="2:15" ht="15.75" customHeight="1" x14ac:dyDescent="0.35">
      <c r="B293" s="2"/>
      <c r="C293" s="3"/>
      <c r="J293" s="5"/>
      <c r="K293" s="1"/>
      <c r="L293" s="1"/>
      <c r="M293" s="8"/>
      <c r="N293" s="8"/>
      <c r="O293" s="8"/>
    </row>
    <row r="294" spans="2:15" ht="15.75" customHeight="1" x14ac:dyDescent="0.35">
      <c r="B294" s="2"/>
      <c r="C294" s="3"/>
      <c r="J294" s="5"/>
      <c r="K294" s="1"/>
      <c r="L294" s="1"/>
      <c r="M294" s="8"/>
      <c r="N294" s="8"/>
      <c r="O294" s="8"/>
    </row>
    <row r="295" spans="2:15" ht="15.75" customHeight="1" x14ac:dyDescent="0.35">
      <c r="B295" s="2"/>
      <c r="C295" s="3"/>
      <c r="J295" s="5"/>
      <c r="K295" s="1"/>
      <c r="L295" s="1"/>
      <c r="M295" s="8"/>
      <c r="N295" s="8"/>
      <c r="O295" s="8"/>
    </row>
    <row r="296" spans="2:15" ht="15.75" customHeight="1" x14ac:dyDescent="0.35">
      <c r="B296" s="2"/>
      <c r="C296" s="3"/>
      <c r="J296" s="5"/>
      <c r="K296" s="1"/>
      <c r="L296" s="1"/>
      <c r="M296" s="8"/>
      <c r="N296" s="8"/>
      <c r="O296" s="8"/>
    </row>
    <row r="297" spans="2:15" ht="15.75" customHeight="1" x14ac:dyDescent="0.35">
      <c r="B297" s="2"/>
      <c r="C297" s="3"/>
      <c r="J297" s="5"/>
      <c r="K297" s="1"/>
      <c r="L297" s="1"/>
      <c r="M297" s="8"/>
      <c r="N297" s="8"/>
      <c r="O297" s="8"/>
    </row>
    <row r="298" spans="2:15" ht="15.75" customHeight="1" x14ac:dyDescent="0.35">
      <c r="B298" s="2"/>
      <c r="C298" s="3"/>
      <c r="J298" s="5"/>
      <c r="K298" s="1"/>
      <c r="L298" s="1"/>
      <c r="M298" s="8"/>
      <c r="N298" s="8"/>
      <c r="O298" s="8"/>
    </row>
    <row r="299" spans="2:15" ht="15.75" customHeight="1" x14ac:dyDescent="0.35">
      <c r="B299" s="2"/>
      <c r="C299" s="3"/>
      <c r="J299" s="5"/>
      <c r="K299" s="1"/>
      <c r="L299" s="1"/>
      <c r="M299" s="8"/>
      <c r="N299" s="8"/>
      <c r="O299" s="8"/>
    </row>
    <row r="300" spans="2:15" ht="15.75" customHeight="1" x14ac:dyDescent="0.35">
      <c r="B300" s="2"/>
      <c r="C300" s="3"/>
      <c r="J300" s="5"/>
      <c r="K300" s="1"/>
      <c r="L300" s="1"/>
      <c r="M300" s="8"/>
      <c r="N300" s="8"/>
      <c r="O300" s="8"/>
    </row>
    <row r="301" spans="2:15" ht="15.75" customHeight="1" x14ac:dyDescent="0.35">
      <c r="B301" s="2"/>
      <c r="C301" s="3"/>
      <c r="J301" s="5"/>
      <c r="K301" s="1"/>
      <c r="L301" s="1"/>
      <c r="M301" s="8"/>
      <c r="N301" s="8"/>
      <c r="O301" s="8"/>
    </row>
    <row r="302" spans="2:15" ht="15.75" customHeight="1" x14ac:dyDescent="0.35">
      <c r="B302" s="2"/>
      <c r="C302" s="3"/>
      <c r="J302" s="5"/>
      <c r="K302" s="1"/>
      <c r="L302" s="1"/>
      <c r="M302" s="8"/>
      <c r="N302" s="8"/>
      <c r="O302" s="8"/>
    </row>
    <row r="303" spans="2:15" ht="15.75" customHeight="1" x14ac:dyDescent="0.35">
      <c r="B303" s="2"/>
      <c r="C303" s="3"/>
      <c r="J303" s="5"/>
      <c r="K303" s="1"/>
      <c r="L303" s="1"/>
      <c r="M303" s="8"/>
      <c r="N303" s="8"/>
      <c r="O303" s="8"/>
    </row>
    <row r="304" spans="2:15" ht="15.75" customHeight="1" x14ac:dyDescent="0.35">
      <c r="B304" s="2"/>
      <c r="C304" s="3"/>
      <c r="J304" s="5"/>
      <c r="K304" s="1"/>
      <c r="L304" s="1"/>
      <c r="M304" s="8"/>
      <c r="N304" s="8"/>
      <c r="O304" s="8"/>
    </row>
    <row r="305" spans="2:15" ht="15.75" customHeight="1" x14ac:dyDescent="0.35">
      <c r="B305" s="2"/>
      <c r="C305" s="3"/>
      <c r="J305" s="5"/>
      <c r="K305" s="1"/>
      <c r="L305" s="1"/>
      <c r="M305" s="8"/>
      <c r="N305" s="8"/>
      <c r="O305" s="8"/>
    </row>
    <row r="306" spans="2:15" ht="15.75" customHeight="1" x14ac:dyDescent="0.35">
      <c r="B306" s="2"/>
      <c r="C306" s="3"/>
      <c r="J306" s="5"/>
      <c r="K306" s="1"/>
      <c r="L306" s="1"/>
      <c r="M306" s="8"/>
      <c r="N306" s="8"/>
      <c r="O306" s="8"/>
    </row>
    <row r="307" spans="2:15" ht="15.75" customHeight="1" x14ac:dyDescent="0.35">
      <c r="B307" s="2"/>
      <c r="C307" s="3"/>
      <c r="J307" s="5"/>
      <c r="K307" s="1"/>
      <c r="L307" s="1"/>
      <c r="M307" s="8"/>
      <c r="N307" s="8"/>
      <c r="O307" s="8"/>
    </row>
    <row r="308" spans="2:15" ht="15.75" customHeight="1" x14ac:dyDescent="0.35">
      <c r="B308" s="2"/>
      <c r="C308" s="3"/>
      <c r="J308" s="5"/>
      <c r="K308" s="1"/>
      <c r="L308" s="1"/>
      <c r="M308" s="8"/>
      <c r="N308" s="8"/>
      <c r="O308" s="8"/>
    </row>
    <row r="309" spans="2:15" ht="15.75" customHeight="1" x14ac:dyDescent="0.35">
      <c r="B309" s="2"/>
      <c r="C309" s="3"/>
      <c r="J309" s="5"/>
      <c r="K309" s="1"/>
      <c r="L309" s="1"/>
      <c r="M309" s="8"/>
      <c r="N309" s="8"/>
      <c r="O309" s="8"/>
    </row>
    <row r="310" spans="2:15" ht="15.75" customHeight="1" x14ac:dyDescent="0.35">
      <c r="B310" s="2"/>
      <c r="C310" s="3"/>
      <c r="J310" s="5"/>
      <c r="K310" s="1"/>
      <c r="L310" s="1"/>
      <c r="M310" s="8"/>
      <c r="N310" s="8"/>
      <c r="O310" s="8"/>
    </row>
    <row r="311" spans="2:15" ht="15.75" customHeight="1" x14ac:dyDescent="0.35">
      <c r="B311" s="2"/>
      <c r="C311" s="3"/>
      <c r="J311" s="5"/>
      <c r="K311" s="1"/>
      <c r="L311" s="1"/>
      <c r="M311" s="8"/>
      <c r="N311" s="8"/>
      <c r="O311" s="8"/>
    </row>
    <row r="312" spans="2:15" ht="15.75" customHeight="1" x14ac:dyDescent="0.35">
      <c r="B312" s="2"/>
      <c r="C312" s="3"/>
      <c r="J312" s="5"/>
      <c r="K312" s="1"/>
      <c r="L312" s="1"/>
      <c r="M312" s="8"/>
      <c r="N312" s="8"/>
      <c r="O312" s="8"/>
    </row>
    <row r="313" spans="2:15" ht="15.75" customHeight="1" x14ac:dyDescent="0.35">
      <c r="B313" s="2"/>
      <c r="C313" s="3"/>
      <c r="J313" s="5"/>
      <c r="K313" s="1"/>
      <c r="L313" s="1"/>
      <c r="M313" s="8"/>
      <c r="N313" s="8"/>
      <c r="O313" s="8"/>
    </row>
    <row r="314" spans="2:15" ht="15.75" customHeight="1" x14ac:dyDescent="0.35">
      <c r="B314" s="2"/>
      <c r="C314" s="3"/>
      <c r="J314" s="5"/>
      <c r="K314" s="1"/>
      <c r="L314" s="1"/>
      <c r="M314" s="8"/>
      <c r="N314" s="8"/>
      <c r="O314" s="8"/>
    </row>
    <row r="315" spans="2:15" ht="15.75" customHeight="1" x14ac:dyDescent="0.35">
      <c r="B315" s="2"/>
      <c r="C315" s="3"/>
      <c r="J315" s="5"/>
      <c r="K315" s="1"/>
      <c r="L315" s="1"/>
      <c r="M315" s="8"/>
      <c r="N315" s="8"/>
      <c r="O315" s="8"/>
    </row>
    <row r="316" spans="2:15" ht="15.75" customHeight="1" x14ac:dyDescent="0.35">
      <c r="B316" s="2"/>
      <c r="C316" s="3"/>
      <c r="J316" s="5"/>
      <c r="K316" s="1"/>
      <c r="L316" s="1"/>
      <c r="M316" s="8"/>
      <c r="N316" s="8"/>
      <c r="O316" s="8"/>
    </row>
    <row r="317" spans="2:15" ht="15.75" customHeight="1" x14ac:dyDescent="0.35">
      <c r="B317" s="2"/>
      <c r="C317" s="3"/>
      <c r="J317" s="5"/>
      <c r="K317" s="1"/>
      <c r="L317" s="1"/>
      <c r="M317" s="8"/>
      <c r="N317" s="8"/>
      <c r="O317" s="8"/>
    </row>
    <row r="318" spans="2:15" ht="15.75" customHeight="1" x14ac:dyDescent="0.35">
      <c r="B318" s="2"/>
      <c r="C318" s="3"/>
      <c r="J318" s="5"/>
      <c r="K318" s="1"/>
      <c r="L318" s="1"/>
      <c r="M318" s="8"/>
      <c r="N318" s="8"/>
      <c r="O318" s="8"/>
    </row>
    <row r="319" spans="2:15" ht="15.75" customHeight="1" x14ac:dyDescent="0.35">
      <c r="B319" s="2"/>
      <c r="C319" s="3"/>
      <c r="J319" s="5"/>
      <c r="K319" s="1"/>
      <c r="L319" s="1"/>
      <c r="M319" s="8"/>
      <c r="N319" s="8"/>
      <c r="O319" s="8"/>
    </row>
    <row r="320" spans="2:15" ht="15.75" customHeight="1" x14ac:dyDescent="0.35">
      <c r="B320" s="2"/>
      <c r="C320" s="3"/>
      <c r="J320" s="5"/>
      <c r="K320" s="1"/>
      <c r="L320" s="1"/>
      <c r="M320" s="8"/>
      <c r="N320" s="8"/>
      <c r="O320" s="8"/>
    </row>
    <row r="321" spans="2:15" ht="15.75" customHeight="1" x14ac:dyDescent="0.35">
      <c r="B321" s="2"/>
      <c r="C321" s="3"/>
      <c r="J321" s="5"/>
      <c r="K321" s="1"/>
      <c r="L321" s="1"/>
      <c r="M321" s="8"/>
      <c r="N321" s="8"/>
      <c r="O321" s="8"/>
    </row>
    <row r="322" spans="2:15" ht="15.75" customHeight="1" x14ac:dyDescent="0.35">
      <c r="B322" s="2"/>
      <c r="C322" s="3"/>
      <c r="J322" s="5"/>
      <c r="K322" s="1"/>
      <c r="L322" s="1"/>
      <c r="M322" s="8"/>
      <c r="N322" s="8"/>
      <c r="O322" s="8"/>
    </row>
    <row r="323" spans="2:15" ht="15.75" customHeight="1" x14ac:dyDescent="0.35">
      <c r="B323" s="2"/>
      <c r="C323" s="3"/>
      <c r="J323" s="5"/>
      <c r="K323" s="1"/>
      <c r="L323" s="1"/>
      <c r="M323" s="8"/>
      <c r="N323" s="8"/>
      <c r="O323" s="8"/>
    </row>
    <row r="324" spans="2:15" ht="15.75" customHeight="1" x14ac:dyDescent="0.35">
      <c r="B324" s="2"/>
      <c r="C324" s="3"/>
      <c r="J324" s="5"/>
      <c r="K324" s="1"/>
      <c r="L324" s="1"/>
      <c r="M324" s="8"/>
      <c r="N324" s="8"/>
      <c r="O324" s="8"/>
    </row>
    <row r="325" spans="2:15" ht="15.75" customHeight="1" x14ac:dyDescent="0.35">
      <c r="B325" s="2"/>
      <c r="C325" s="3"/>
      <c r="J325" s="5"/>
      <c r="K325" s="1"/>
      <c r="L325" s="1"/>
      <c r="M325" s="8"/>
      <c r="N325" s="8"/>
      <c r="O325" s="8"/>
    </row>
    <row r="326" spans="2:15" ht="15.75" customHeight="1" x14ac:dyDescent="0.35">
      <c r="B326" s="2"/>
      <c r="C326" s="3"/>
      <c r="J326" s="5"/>
      <c r="K326" s="1"/>
      <c r="L326" s="1"/>
      <c r="M326" s="8"/>
      <c r="N326" s="8"/>
      <c r="O326" s="8"/>
    </row>
    <row r="327" spans="2:15" ht="15.75" customHeight="1" x14ac:dyDescent="0.35">
      <c r="B327" s="2"/>
      <c r="C327" s="3"/>
      <c r="J327" s="5"/>
      <c r="K327" s="1"/>
      <c r="L327" s="1"/>
      <c r="M327" s="8"/>
      <c r="N327" s="8"/>
      <c r="O327" s="8"/>
    </row>
    <row r="328" spans="2:15" ht="15.75" customHeight="1" x14ac:dyDescent="0.35">
      <c r="B328" s="2"/>
      <c r="C328" s="3"/>
      <c r="J328" s="5"/>
      <c r="K328" s="1"/>
      <c r="L328" s="1"/>
      <c r="M328" s="8"/>
      <c r="N328" s="8"/>
      <c r="O328" s="8"/>
    </row>
    <row r="329" spans="2:15" ht="15.75" customHeight="1" x14ac:dyDescent="0.35">
      <c r="B329" s="2"/>
      <c r="C329" s="3"/>
      <c r="J329" s="5"/>
      <c r="K329" s="1"/>
      <c r="L329" s="1"/>
      <c r="M329" s="8"/>
      <c r="N329" s="8"/>
      <c r="O329" s="8"/>
    </row>
    <row r="330" spans="2:15" ht="15.75" customHeight="1" x14ac:dyDescent="0.35">
      <c r="B330" s="2"/>
      <c r="C330" s="3"/>
      <c r="J330" s="5"/>
      <c r="K330" s="1"/>
      <c r="L330" s="1"/>
      <c r="M330" s="8"/>
      <c r="N330" s="8"/>
      <c r="O330" s="8"/>
    </row>
    <row r="331" spans="2:15" ht="15.75" customHeight="1" x14ac:dyDescent="0.35">
      <c r="B331" s="2"/>
      <c r="C331" s="3"/>
      <c r="J331" s="5"/>
      <c r="K331" s="1"/>
      <c r="L331" s="1"/>
      <c r="M331" s="8"/>
      <c r="N331" s="8"/>
      <c r="O331" s="8"/>
    </row>
    <row r="332" spans="2:15" ht="15.75" customHeight="1" x14ac:dyDescent="0.35">
      <c r="B332" s="2"/>
      <c r="C332" s="3"/>
      <c r="J332" s="5"/>
      <c r="K332" s="1"/>
      <c r="L332" s="1"/>
      <c r="M332" s="8"/>
      <c r="N332" s="8"/>
      <c r="O332" s="8"/>
    </row>
    <row r="333" spans="2:15" ht="15.75" customHeight="1" x14ac:dyDescent="0.35">
      <c r="B333" s="2"/>
      <c r="C333" s="3"/>
      <c r="J333" s="5"/>
      <c r="K333" s="1"/>
      <c r="L333" s="1"/>
      <c r="M333" s="8"/>
      <c r="N333" s="8"/>
      <c r="O333" s="8"/>
    </row>
    <row r="334" spans="2:15" ht="15.75" customHeight="1" x14ac:dyDescent="0.35">
      <c r="B334" s="2"/>
      <c r="C334" s="3"/>
      <c r="J334" s="5"/>
      <c r="K334" s="1"/>
      <c r="L334" s="1"/>
      <c r="M334" s="8"/>
      <c r="N334" s="8"/>
      <c r="O334" s="8"/>
    </row>
    <row r="335" spans="2:15" ht="15.75" customHeight="1" x14ac:dyDescent="0.35">
      <c r="B335" s="2"/>
      <c r="C335" s="3"/>
      <c r="J335" s="5"/>
      <c r="K335" s="1"/>
      <c r="L335" s="1"/>
      <c r="M335" s="8"/>
      <c r="N335" s="8"/>
      <c r="O335" s="8"/>
    </row>
    <row r="336" spans="2:15" ht="15.75" customHeight="1" x14ac:dyDescent="0.35">
      <c r="B336" s="2"/>
      <c r="C336" s="3"/>
      <c r="J336" s="5"/>
      <c r="K336" s="1"/>
      <c r="L336" s="1"/>
      <c r="M336" s="8"/>
      <c r="N336" s="8"/>
      <c r="O336" s="8"/>
    </row>
    <row r="337" spans="2:15" ht="15.75" customHeight="1" x14ac:dyDescent="0.35">
      <c r="B337" s="2"/>
      <c r="C337" s="3"/>
      <c r="J337" s="5"/>
      <c r="K337" s="1"/>
      <c r="L337" s="1"/>
      <c r="M337" s="8"/>
      <c r="N337" s="8"/>
      <c r="O337" s="8"/>
    </row>
    <row r="338" spans="2:15" ht="15.75" customHeight="1" x14ac:dyDescent="0.35">
      <c r="B338" s="2"/>
      <c r="C338" s="3"/>
      <c r="J338" s="5"/>
      <c r="K338" s="1"/>
      <c r="L338" s="1"/>
      <c r="M338" s="8"/>
      <c r="N338" s="8"/>
      <c r="O338" s="8"/>
    </row>
    <row r="339" spans="2:15" ht="15.75" customHeight="1" x14ac:dyDescent="0.35">
      <c r="B339" s="2"/>
      <c r="C339" s="3"/>
      <c r="J339" s="5"/>
      <c r="K339" s="1"/>
      <c r="L339" s="1"/>
      <c r="M339" s="8"/>
      <c r="N339" s="8"/>
      <c r="O339" s="8"/>
    </row>
    <row r="340" spans="2:15" ht="15.75" customHeight="1" x14ac:dyDescent="0.35">
      <c r="B340" s="2"/>
      <c r="C340" s="3"/>
      <c r="J340" s="5"/>
      <c r="K340" s="1"/>
      <c r="L340" s="1"/>
      <c r="M340" s="8"/>
      <c r="N340" s="8"/>
      <c r="O340" s="8"/>
    </row>
    <row r="341" spans="2:15" ht="15.75" customHeight="1" x14ac:dyDescent="0.35">
      <c r="B341" s="2"/>
      <c r="C341" s="3"/>
      <c r="J341" s="5"/>
      <c r="K341" s="1"/>
      <c r="L341" s="1"/>
      <c r="M341" s="8"/>
      <c r="N341" s="8"/>
      <c r="O341" s="8"/>
    </row>
    <row r="342" spans="2:15" ht="15.75" customHeight="1" x14ac:dyDescent="0.35">
      <c r="B342" s="2"/>
      <c r="C342" s="3"/>
      <c r="J342" s="5"/>
      <c r="K342" s="1"/>
      <c r="L342" s="1"/>
      <c r="M342" s="8"/>
      <c r="N342" s="8"/>
      <c r="O342" s="8"/>
    </row>
    <row r="343" spans="2:15" ht="15.75" customHeight="1" x14ac:dyDescent="0.35">
      <c r="B343" s="2"/>
      <c r="C343" s="3"/>
      <c r="J343" s="5"/>
      <c r="K343" s="1"/>
      <c r="L343" s="1"/>
      <c r="M343" s="8"/>
      <c r="N343" s="8"/>
      <c r="O343" s="8"/>
    </row>
    <row r="344" spans="2:15" ht="15.75" customHeight="1" x14ac:dyDescent="0.35">
      <c r="B344" s="2"/>
      <c r="C344" s="3"/>
      <c r="J344" s="5"/>
      <c r="K344" s="1"/>
      <c r="L344" s="1"/>
      <c r="M344" s="8"/>
      <c r="N344" s="8"/>
      <c r="O344" s="8"/>
    </row>
    <row r="345" spans="2:15" ht="15.75" customHeight="1" x14ac:dyDescent="0.35">
      <c r="B345" s="2"/>
      <c r="C345" s="3"/>
      <c r="J345" s="5"/>
      <c r="K345" s="1"/>
      <c r="L345" s="1"/>
      <c r="M345" s="8"/>
      <c r="N345" s="8"/>
      <c r="O345" s="8"/>
    </row>
    <row r="346" spans="2:15" ht="15.75" customHeight="1" x14ac:dyDescent="0.35">
      <c r="B346" s="2"/>
      <c r="C346" s="3"/>
      <c r="J346" s="5"/>
      <c r="K346" s="1"/>
      <c r="L346" s="1"/>
      <c r="M346" s="8"/>
      <c r="N346" s="8"/>
      <c r="O346" s="8"/>
    </row>
    <row r="347" spans="2:15" ht="15.75" customHeight="1" x14ac:dyDescent="0.35">
      <c r="B347" s="2"/>
      <c r="C347" s="3"/>
      <c r="J347" s="5"/>
      <c r="K347" s="1"/>
      <c r="L347" s="1"/>
      <c r="M347" s="8"/>
      <c r="N347" s="8"/>
      <c r="O347" s="8"/>
    </row>
    <row r="348" spans="2:15" ht="15.75" customHeight="1" x14ac:dyDescent="0.35">
      <c r="B348" s="2"/>
      <c r="C348" s="3"/>
      <c r="J348" s="5"/>
      <c r="K348" s="1"/>
      <c r="L348" s="1"/>
      <c r="M348" s="8"/>
      <c r="N348" s="8"/>
      <c r="O348" s="8"/>
    </row>
    <row r="349" spans="2:15" ht="15.75" customHeight="1" x14ac:dyDescent="0.35">
      <c r="B349" s="2"/>
      <c r="C349" s="3"/>
      <c r="J349" s="5"/>
      <c r="K349" s="1"/>
      <c r="L349" s="1"/>
      <c r="M349" s="8"/>
      <c r="N349" s="8"/>
      <c r="O349" s="8"/>
    </row>
    <row r="350" spans="2:15" ht="15.75" customHeight="1" x14ac:dyDescent="0.35">
      <c r="B350" s="2"/>
      <c r="C350" s="3"/>
      <c r="J350" s="5"/>
      <c r="K350" s="1"/>
      <c r="L350" s="1"/>
      <c r="M350" s="8"/>
      <c r="N350" s="8"/>
      <c r="O350" s="8"/>
    </row>
    <row r="351" spans="2:15" ht="15.75" customHeight="1" x14ac:dyDescent="0.35">
      <c r="B351" s="2"/>
      <c r="C351" s="3"/>
      <c r="J351" s="5"/>
      <c r="K351" s="1"/>
      <c r="L351" s="1"/>
      <c r="M351" s="8"/>
      <c r="N351" s="8"/>
      <c r="O351" s="8"/>
    </row>
    <row r="352" spans="2:15" ht="15.75" customHeight="1" x14ac:dyDescent="0.35">
      <c r="B352" s="2"/>
      <c r="C352" s="3"/>
      <c r="J352" s="5"/>
      <c r="K352" s="1"/>
      <c r="L352" s="1"/>
      <c r="M352" s="8"/>
      <c r="N352" s="8"/>
      <c r="O352" s="8"/>
    </row>
    <row r="353" spans="2:15" ht="15.75" customHeight="1" x14ac:dyDescent="0.35">
      <c r="B353" s="2"/>
      <c r="C353" s="3"/>
      <c r="J353" s="5"/>
      <c r="K353" s="1"/>
      <c r="L353" s="1"/>
      <c r="M353" s="8"/>
      <c r="N353" s="8"/>
      <c r="O353" s="8"/>
    </row>
    <row r="354" spans="2:15" ht="15.75" customHeight="1" x14ac:dyDescent="0.35">
      <c r="B354" s="2"/>
      <c r="C354" s="3"/>
      <c r="J354" s="5"/>
      <c r="K354" s="1"/>
      <c r="L354" s="1"/>
      <c r="M354" s="8"/>
      <c r="N354" s="8"/>
      <c r="O354" s="8"/>
    </row>
    <row r="355" spans="2:15" ht="15.75" customHeight="1" x14ac:dyDescent="0.35">
      <c r="B355" s="2"/>
      <c r="C355" s="3"/>
      <c r="J355" s="5"/>
      <c r="K355" s="1"/>
      <c r="L355" s="1"/>
      <c r="M355" s="8"/>
      <c r="N355" s="8"/>
      <c r="O355" s="8"/>
    </row>
    <row r="356" spans="2:15" ht="15.75" customHeight="1" x14ac:dyDescent="0.35">
      <c r="B356" s="2"/>
      <c r="C356" s="3"/>
      <c r="J356" s="5"/>
      <c r="K356" s="1"/>
      <c r="L356" s="1"/>
      <c r="M356" s="8"/>
      <c r="N356" s="8"/>
      <c r="O356" s="8"/>
    </row>
    <row r="357" spans="2:15" ht="15.75" customHeight="1" x14ac:dyDescent="0.35">
      <c r="B357" s="2"/>
      <c r="C357" s="3"/>
      <c r="J357" s="5"/>
      <c r="K357" s="1"/>
      <c r="L357" s="1"/>
      <c r="M357" s="8"/>
      <c r="N357" s="8"/>
      <c r="O357" s="8"/>
    </row>
    <row r="358" spans="2:15" ht="15.75" customHeight="1" x14ac:dyDescent="0.35">
      <c r="B358" s="2"/>
      <c r="C358" s="3"/>
      <c r="J358" s="5"/>
      <c r="K358" s="1"/>
      <c r="L358" s="1"/>
      <c r="M358" s="8"/>
      <c r="N358" s="8"/>
      <c r="O358" s="8"/>
    </row>
    <row r="359" spans="2:15" ht="15.75" customHeight="1" x14ac:dyDescent="0.35">
      <c r="B359" s="2"/>
      <c r="C359" s="3"/>
      <c r="J359" s="5"/>
      <c r="K359" s="1"/>
      <c r="L359" s="1"/>
      <c r="M359" s="8"/>
      <c r="N359" s="8"/>
      <c r="O359" s="8"/>
    </row>
    <row r="360" spans="2:15" ht="15.75" customHeight="1" x14ac:dyDescent="0.35">
      <c r="B360" s="2"/>
      <c r="C360" s="3"/>
      <c r="J360" s="5"/>
      <c r="K360" s="1"/>
      <c r="L360" s="1"/>
      <c r="M360" s="8"/>
      <c r="N360" s="8"/>
      <c r="O360" s="8"/>
    </row>
    <row r="361" spans="2:15" ht="15.75" customHeight="1" x14ac:dyDescent="0.35">
      <c r="B361" s="2"/>
      <c r="C361" s="3"/>
      <c r="J361" s="5"/>
      <c r="K361" s="1"/>
      <c r="L361" s="1"/>
    </row>
    <row r="362" spans="2:15" ht="15.75" customHeight="1" x14ac:dyDescent="0.35">
      <c r="B362" s="2"/>
      <c r="C362" s="3"/>
      <c r="J362" s="5"/>
      <c r="K362" s="1"/>
      <c r="L362" s="1"/>
    </row>
    <row r="363" spans="2:15" ht="15.75" customHeight="1" x14ac:dyDescent="0.35">
      <c r="B363" s="2"/>
      <c r="C363" s="3"/>
      <c r="J363" s="5"/>
      <c r="K363" s="1"/>
      <c r="L363" s="1"/>
    </row>
    <row r="364" spans="2:15" ht="15.75" customHeight="1" x14ac:dyDescent="0.35">
      <c r="B364" s="2"/>
      <c r="C364" s="3"/>
      <c r="J364" s="5"/>
      <c r="K364" s="1"/>
      <c r="L364" s="1"/>
    </row>
    <row r="365" spans="2:15" x14ac:dyDescent="0.35">
      <c r="B365" s="10"/>
      <c r="J365" s="10"/>
    </row>
    <row r="366" spans="2:15" x14ac:dyDescent="0.35">
      <c r="B366" s="10"/>
      <c r="J366" s="10"/>
    </row>
    <row r="367" spans="2:15" x14ac:dyDescent="0.35">
      <c r="B367" s="10"/>
      <c r="J367" s="10"/>
    </row>
    <row r="368" spans="2:15" x14ac:dyDescent="0.35">
      <c r="B368" s="10"/>
      <c r="J368" s="10"/>
    </row>
    <row r="369" spans="2:10" x14ac:dyDescent="0.35">
      <c r="B369" s="10"/>
      <c r="J369" s="10"/>
    </row>
    <row r="370" spans="2:10" x14ac:dyDescent="0.35">
      <c r="B370" s="10"/>
      <c r="J370" s="10"/>
    </row>
    <row r="371" spans="2:10" x14ac:dyDescent="0.35">
      <c r="B371" s="10"/>
      <c r="J371" s="10"/>
    </row>
    <row r="372" spans="2:10" x14ac:dyDescent="0.35">
      <c r="B372" s="10"/>
      <c r="J372" s="10"/>
    </row>
    <row r="373" spans="2:10" x14ac:dyDescent="0.35">
      <c r="B373" s="10"/>
      <c r="J373" s="10"/>
    </row>
    <row r="374" spans="2:10" x14ac:dyDescent="0.35">
      <c r="B374" s="10"/>
      <c r="J374" s="10"/>
    </row>
    <row r="375" spans="2:10" x14ac:dyDescent="0.35">
      <c r="B375" s="10"/>
      <c r="J375" s="10"/>
    </row>
    <row r="376" spans="2:10" x14ac:dyDescent="0.35">
      <c r="B376" s="10"/>
      <c r="J376" s="10"/>
    </row>
    <row r="377" spans="2:10" x14ac:dyDescent="0.35">
      <c r="B377" s="10"/>
      <c r="J377" s="10"/>
    </row>
    <row r="378" spans="2:10" x14ac:dyDescent="0.35">
      <c r="B378" s="10"/>
      <c r="J378" s="10"/>
    </row>
    <row r="379" spans="2:10" x14ac:dyDescent="0.35">
      <c r="B379" s="10"/>
      <c r="J379" s="10"/>
    </row>
    <row r="380" spans="2:10" x14ac:dyDescent="0.35">
      <c r="B380" s="10"/>
      <c r="J380" s="10"/>
    </row>
    <row r="381" spans="2:10" x14ac:dyDescent="0.35">
      <c r="B381" s="10"/>
      <c r="J381" s="10"/>
    </row>
    <row r="382" spans="2:10" x14ac:dyDescent="0.35">
      <c r="B382" s="10"/>
      <c r="J382" s="10"/>
    </row>
    <row r="383" spans="2:10" x14ac:dyDescent="0.35">
      <c r="B383" s="10"/>
      <c r="J383" s="10"/>
    </row>
    <row r="384" spans="2:10" x14ac:dyDescent="0.35">
      <c r="B384" s="10"/>
      <c r="J384" s="10"/>
    </row>
    <row r="385" spans="2:10" x14ac:dyDescent="0.35">
      <c r="B385" s="10"/>
      <c r="J385" s="10"/>
    </row>
    <row r="386" spans="2:10" x14ac:dyDescent="0.35">
      <c r="B386" s="10"/>
      <c r="J386" s="10"/>
    </row>
    <row r="387" spans="2:10" x14ac:dyDescent="0.35">
      <c r="B387" s="10"/>
      <c r="J387" s="10"/>
    </row>
    <row r="388" spans="2:10" x14ac:dyDescent="0.35">
      <c r="B388" s="10"/>
      <c r="J388" s="10"/>
    </row>
    <row r="389" spans="2:10" x14ac:dyDescent="0.35">
      <c r="B389" s="10"/>
      <c r="J389" s="10"/>
    </row>
    <row r="390" spans="2:10" x14ac:dyDescent="0.35">
      <c r="B390" s="10"/>
      <c r="J390" s="10"/>
    </row>
    <row r="391" spans="2:10" x14ac:dyDescent="0.35">
      <c r="B391" s="10"/>
      <c r="J391" s="10"/>
    </row>
    <row r="392" spans="2:10" x14ac:dyDescent="0.35">
      <c r="B392" s="10"/>
      <c r="J392" s="10"/>
    </row>
    <row r="393" spans="2:10" x14ac:dyDescent="0.35">
      <c r="B393" s="10"/>
      <c r="J393" s="10"/>
    </row>
    <row r="394" spans="2:10" x14ac:dyDescent="0.35">
      <c r="B394" s="10"/>
      <c r="J394" s="10"/>
    </row>
    <row r="395" spans="2:10" x14ac:dyDescent="0.35">
      <c r="B395" s="10"/>
      <c r="J395" s="10"/>
    </row>
    <row r="396" spans="2:10" x14ac:dyDescent="0.35">
      <c r="B396" s="10"/>
      <c r="J396" s="10"/>
    </row>
    <row r="397" spans="2:10" x14ac:dyDescent="0.35">
      <c r="B397" s="10"/>
      <c r="J397" s="10"/>
    </row>
    <row r="398" spans="2:10" x14ac:dyDescent="0.35">
      <c r="B398" s="10"/>
      <c r="J398" s="10"/>
    </row>
    <row r="399" spans="2:10" x14ac:dyDescent="0.35">
      <c r="B399" s="10"/>
      <c r="J399" s="10"/>
    </row>
    <row r="400" spans="2:10" x14ac:dyDescent="0.35">
      <c r="B400" s="10"/>
      <c r="J400" s="10"/>
    </row>
    <row r="401" spans="2:10" x14ac:dyDescent="0.35">
      <c r="B401" s="10"/>
      <c r="J401" s="10"/>
    </row>
    <row r="402" spans="2:10" x14ac:dyDescent="0.35">
      <c r="B402" s="10"/>
      <c r="J402" s="10"/>
    </row>
    <row r="403" spans="2:10" x14ac:dyDescent="0.35">
      <c r="B403" s="10"/>
      <c r="J403" s="10"/>
    </row>
    <row r="404" spans="2:10" x14ac:dyDescent="0.35">
      <c r="B404" s="10"/>
      <c r="J404" s="10"/>
    </row>
    <row r="405" spans="2:10" x14ac:dyDescent="0.35">
      <c r="B405" s="10"/>
      <c r="J405" s="10"/>
    </row>
    <row r="406" spans="2:10" x14ac:dyDescent="0.35">
      <c r="B406" s="10"/>
      <c r="J406" s="10"/>
    </row>
    <row r="407" spans="2:10" x14ac:dyDescent="0.35">
      <c r="B407" s="10"/>
      <c r="J407" s="10"/>
    </row>
    <row r="408" spans="2:10" x14ac:dyDescent="0.35">
      <c r="B408" s="10"/>
      <c r="J408" s="10"/>
    </row>
    <row r="409" spans="2:10" x14ac:dyDescent="0.35">
      <c r="B409" s="10"/>
      <c r="J409" s="10"/>
    </row>
    <row r="410" spans="2:10" x14ac:dyDescent="0.35">
      <c r="B410" s="10"/>
      <c r="J410" s="10"/>
    </row>
    <row r="411" spans="2:10" x14ac:dyDescent="0.35">
      <c r="B411" s="10"/>
      <c r="J411" s="10"/>
    </row>
    <row r="412" spans="2:10" x14ac:dyDescent="0.35">
      <c r="B412" s="10"/>
      <c r="J412" s="10"/>
    </row>
    <row r="413" spans="2:10" x14ac:dyDescent="0.35">
      <c r="B413" s="10"/>
      <c r="J413" s="10"/>
    </row>
    <row r="414" spans="2:10" x14ac:dyDescent="0.35">
      <c r="B414" s="10"/>
      <c r="J414" s="10"/>
    </row>
    <row r="415" spans="2:10" x14ac:dyDescent="0.35">
      <c r="B415" s="10"/>
      <c r="J415" s="10"/>
    </row>
    <row r="416" spans="2:10" x14ac:dyDescent="0.35">
      <c r="B416" s="10"/>
      <c r="J416" s="10"/>
    </row>
    <row r="417" spans="2:10" x14ac:dyDescent="0.35">
      <c r="B417" s="10"/>
      <c r="J417" s="10"/>
    </row>
    <row r="418" spans="2:10" x14ac:dyDescent="0.35">
      <c r="B418" s="10"/>
      <c r="J418" s="10"/>
    </row>
    <row r="419" spans="2:10" x14ac:dyDescent="0.35">
      <c r="B419" s="10"/>
      <c r="J419" s="10"/>
    </row>
    <row r="420" spans="2:10" x14ac:dyDescent="0.35">
      <c r="B420" s="10"/>
      <c r="J420" s="10"/>
    </row>
    <row r="421" spans="2:10" x14ac:dyDescent="0.35">
      <c r="B421" s="10"/>
      <c r="J421" s="10"/>
    </row>
    <row r="422" spans="2:10" x14ac:dyDescent="0.35">
      <c r="B422" s="10"/>
      <c r="J422" s="10"/>
    </row>
    <row r="423" spans="2:10" x14ac:dyDescent="0.35">
      <c r="B423" s="10"/>
      <c r="J423" s="10"/>
    </row>
    <row r="424" spans="2:10" x14ac:dyDescent="0.35">
      <c r="B424" s="10"/>
      <c r="J424" s="10"/>
    </row>
    <row r="425" spans="2:10" x14ac:dyDescent="0.35">
      <c r="B425" s="10"/>
      <c r="J425" s="10"/>
    </row>
    <row r="426" spans="2:10" x14ac:dyDescent="0.35">
      <c r="B426" s="10"/>
      <c r="J426" s="10"/>
    </row>
    <row r="427" spans="2:10" x14ac:dyDescent="0.35">
      <c r="B427" s="10"/>
      <c r="J427" s="10"/>
    </row>
    <row r="428" spans="2:10" x14ac:dyDescent="0.35">
      <c r="B428" s="10"/>
      <c r="J428" s="10"/>
    </row>
    <row r="429" spans="2:10" x14ac:dyDescent="0.35">
      <c r="B429" s="10"/>
      <c r="J429" s="10"/>
    </row>
    <row r="430" spans="2:10" x14ac:dyDescent="0.35">
      <c r="B430" s="10"/>
      <c r="J430" s="10"/>
    </row>
    <row r="431" spans="2:10" x14ac:dyDescent="0.35">
      <c r="B431" s="10"/>
      <c r="J431" s="10"/>
    </row>
    <row r="432" spans="2:10" x14ac:dyDescent="0.35">
      <c r="B432" s="10"/>
      <c r="J432" s="10"/>
    </row>
    <row r="433" spans="2:10" x14ac:dyDescent="0.35">
      <c r="B433" s="10"/>
      <c r="J433" s="10"/>
    </row>
    <row r="434" spans="2:10" x14ac:dyDescent="0.35">
      <c r="B434" s="10"/>
      <c r="J434" s="10"/>
    </row>
    <row r="435" spans="2:10" x14ac:dyDescent="0.35">
      <c r="B435" s="10"/>
      <c r="J435" s="10"/>
    </row>
    <row r="436" spans="2:10" x14ac:dyDescent="0.35">
      <c r="B436" s="10"/>
      <c r="J436" s="10"/>
    </row>
    <row r="437" spans="2:10" x14ac:dyDescent="0.35">
      <c r="B437" s="10"/>
      <c r="J437" s="10"/>
    </row>
    <row r="438" spans="2:10" x14ac:dyDescent="0.35">
      <c r="B438" s="10"/>
      <c r="J438" s="10"/>
    </row>
    <row r="439" spans="2:10" x14ac:dyDescent="0.35">
      <c r="B439" s="10"/>
      <c r="J439" s="10"/>
    </row>
    <row r="440" spans="2:10" x14ac:dyDescent="0.35">
      <c r="B440" s="10"/>
      <c r="J440" s="10"/>
    </row>
    <row r="441" spans="2:10" x14ac:dyDescent="0.35">
      <c r="B441" s="10"/>
      <c r="J441" s="10"/>
    </row>
    <row r="442" spans="2:10" x14ac:dyDescent="0.35">
      <c r="B442" s="10"/>
      <c r="J442" s="10"/>
    </row>
    <row r="443" spans="2:10" x14ac:dyDescent="0.35">
      <c r="B443" s="10"/>
      <c r="J443" s="10"/>
    </row>
    <row r="444" spans="2:10" x14ac:dyDescent="0.35">
      <c r="B444" s="10"/>
      <c r="J444" s="10"/>
    </row>
    <row r="445" spans="2:10" x14ac:dyDescent="0.35">
      <c r="B445" s="10"/>
      <c r="J445" s="10"/>
    </row>
    <row r="446" spans="2:10" x14ac:dyDescent="0.35">
      <c r="B446" s="10"/>
      <c r="J446" s="10"/>
    </row>
    <row r="447" spans="2:10" x14ac:dyDescent="0.35">
      <c r="B447" s="10"/>
      <c r="J447" s="10"/>
    </row>
    <row r="448" spans="2:10" x14ac:dyDescent="0.35">
      <c r="B448" s="10"/>
      <c r="J448" s="10"/>
    </row>
    <row r="449" spans="2:10" x14ac:dyDescent="0.35">
      <c r="B449" s="10"/>
      <c r="J449" s="10"/>
    </row>
    <row r="450" spans="2:10" x14ac:dyDescent="0.35">
      <c r="B450" s="10"/>
      <c r="J450" s="10"/>
    </row>
    <row r="451" spans="2:10" x14ac:dyDescent="0.35">
      <c r="B451" s="10"/>
      <c r="J451" s="10"/>
    </row>
    <row r="452" spans="2:10" x14ac:dyDescent="0.35">
      <c r="B452" s="10"/>
      <c r="J452" s="10"/>
    </row>
    <row r="453" spans="2:10" x14ac:dyDescent="0.35">
      <c r="B453" s="10"/>
      <c r="J453" s="10"/>
    </row>
    <row r="454" spans="2:10" x14ac:dyDescent="0.35">
      <c r="B454" s="10"/>
      <c r="J454" s="10"/>
    </row>
    <row r="455" spans="2:10" x14ac:dyDescent="0.35">
      <c r="B455" s="10"/>
      <c r="J455" s="10"/>
    </row>
    <row r="456" spans="2:10" x14ac:dyDescent="0.35">
      <c r="B456" s="10"/>
      <c r="J456" s="10"/>
    </row>
    <row r="457" spans="2:10" x14ac:dyDescent="0.35">
      <c r="B457" s="10"/>
      <c r="J457" s="10"/>
    </row>
    <row r="458" spans="2:10" x14ac:dyDescent="0.35">
      <c r="B458" s="10"/>
      <c r="J458" s="10"/>
    </row>
    <row r="459" spans="2:10" x14ac:dyDescent="0.35">
      <c r="B459" s="10"/>
      <c r="J459" s="10"/>
    </row>
    <row r="460" spans="2:10" x14ac:dyDescent="0.35">
      <c r="B460" s="10"/>
      <c r="J460" s="10"/>
    </row>
    <row r="461" spans="2:10" x14ac:dyDescent="0.35">
      <c r="B461" s="10"/>
      <c r="J461" s="10"/>
    </row>
    <row r="462" spans="2:10" x14ac:dyDescent="0.35">
      <c r="B462" s="10"/>
      <c r="J462" s="10"/>
    </row>
    <row r="463" spans="2:10" x14ac:dyDescent="0.35">
      <c r="B463" s="10"/>
      <c r="J463" s="10"/>
    </row>
    <row r="464" spans="2:10" x14ac:dyDescent="0.35">
      <c r="B464" s="10"/>
      <c r="J464" s="10"/>
    </row>
    <row r="465" spans="2:10" x14ac:dyDescent="0.35">
      <c r="B465" s="10"/>
      <c r="J465" s="10"/>
    </row>
    <row r="466" spans="2:10" x14ac:dyDescent="0.35">
      <c r="B466" s="10"/>
      <c r="J466" s="10"/>
    </row>
    <row r="467" spans="2:10" x14ac:dyDescent="0.35">
      <c r="B467" s="10"/>
      <c r="J467" s="10"/>
    </row>
    <row r="468" spans="2:10" x14ac:dyDescent="0.35">
      <c r="B468" s="10"/>
      <c r="J468" s="10"/>
    </row>
    <row r="469" spans="2:10" x14ac:dyDescent="0.35">
      <c r="B469" s="10"/>
      <c r="J469" s="10"/>
    </row>
    <row r="470" spans="2:10" x14ac:dyDescent="0.35">
      <c r="B470" s="10"/>
      <c r="J470" s="10"/>
    </row>
    <row r="471" spans="2:10" x14ac:dyDescent="0.35">
      <c r="B471" s="10"/>
      <c r="J471" s="10"/>
    </row>
    <row r="472" spans="2:10" x14ac:dyDescent="0.35">
      <c r="B472" s="10"/>
      <c r="J472" s="10"/>
    </row>
    <row r="473" spans="2:10" x14ac:dyDescent="0.35">
      <c r="B473" s="10"/>
      <c r="J473" s="10"/>
    </row>
    <row r="474" spans="2:10" x14ac:dyDescent="0.35">
      <c r="B474" s="10"/>
      <c r="J474" s="10"/>
    </row>
    <row r="475" spans="2:10" x14ac:dyDescent="0.35">
      <c r="B475" s="10"/>
      <c r="J475" s="10"/>
    </row>
    <row r="476" spans="2:10" x14ac:dyDescent="0.35">
      <c r="B476" s="10"/>
      <c r="J476" s="10"/>
    </row>
    <row r="477" spans="2:10" x14ac:dyDescent="0.35">
      <c r="B477" s="10"/>
      <c r="J477" s="10"/>
    </row>
    <row r="478" spans="2:10" x14ac:dyDescent="0.35">
      <c r="B478" s="10"/>
      <c r="J478" s="10"/>
    </row>
    <row r="479" spans="2:10" x14ac:dyDescent="0.35">
      <c r="B479" s="10"/>
      <c r="J479" s="10"/>
    </row>
    <row r="480" spans="2:10" x14ac:dyDescent="0.35">
      <c r="B480" s="10"/>
      <c r="J480" s="10"/>
    </row>
    <row r="481" spans="2:10" x14ac:dyDescent="0.35">
      <c r="B481" s="10"/>
      <c r="J481" s="10"/>
    </row>
    <row r="482" spans="2:10" x14ac:dyDescent="0.35">
      <c r="B482" s="10"/>
      <c r="J482" s="10"/>
    </row>
    <row r="483" spans="2:10" x14ac:dyDescent="0.35">
      <c r="B483" s="10"/>
      <c r="J483" s="10"/>
    </row>
    <row r="484" spans="2:10" x14ac:dyDescent="0.35">
      <c r="B484" s="10"/>
      <c r="J484" s="10"/>
    </row>
    <row r="485" spans="2:10" x14ac:dyDescent="0.35">
      <c r="B485" s="10"/>
      <c r="J485" s="10"/>
    </row>
    <row r="486" spans="2:10" x14ac:dyDescent="0.35">
      <c r="B486" s="10"/>
      <c r="J486" s="10"/>
    </row>
    <row r="487" spans="2:10" x14ac:dyDescent="0.35">
      <c r="B487" s="10"/>
      <c r="J487" s="10"/>
    </row>
    <row r="488" spans="2:10" x14ac:dyDescent="0.35">
      <c r="B488" s="10"/>
      <c r="J488" s="10"/>
    </row>
    <row r="489" spans="2:10" x14ac:dyDescent="0.35">
      <c r="B489" s="10"/>
      <c r="J489" s="10"/>
    </row>
    <row r="490" spans="2:10" x14ac:dyDescent="0.35">
      <c r="B490" s="10"/>
      <c r="J490" s="10"/>
    </row>
    <row r="491" spans="2:10" x14ac:dyDescent="0.35">
      <c r="B491" s="10"/>
      <c r="J491" s="10"/>
    </row>
    <row r="492" spans="2:10" x14ac:dyDescent="0.35">
      <c r="B492" s="10"/>
      <c r="J492" s="10"/>
    </row>
    <row r="493" spans="2:10" x14ac:dyDescent="0.35">
      <c r="B493" s="10"/>
      <c r="J493" s="10"/>
    </row>
    <row r="494" spans="2:10" x14ac:dyDescent="0.35">
      <c r="B494" s="10"/>
      <c r="J494" s="10"/>
    </row>
    <row r="495" spans="2:10" x14ac:dyDescent="0.35">
      <c r="B495" s="10"/>
      <c r="J495" s="10"/>
    </row>
    <row r="496" spans="2:10" x14ac:dyDescent="0.35">
      <c r="B496" s="10"/>
      <c r="J496" s="10"/>
    </row>
    <row r="497" spans="2:10" x14ac:dyDescent="0.35">
      <c r="B497" s="10"/>
      <c r="J497" s="10"/>
    </row>
    <row r="498" spans="2:10" x14ac:dyDescent="0.35">
      <c r="B498" s="10"/>
      <c r="J498" s="10"/>
    </row>
    <row r="499" spans="2:10" x14ac:dyDescent="0.35">
      <c r="B499" s="10"/>
      <c r="J499" s="10"/>
    </row>
    <row r="500" spans="2:10" x14ac:dyDescent="0.35">
      <c r="B500" s="10"/>
      <c r="J500" s="10"/>
    </row>
    <row r="501" spans="2:10" x14ac:dyDescent="0.35">
      <c r="B501" s="10"/>
      <c r="J501" s="10"/>
    </row>
    <row r="502" spans="2:10" x14ac:dyDescent="0.35">
      <c r="B502" s="10"/>
      <c r="J502" s="10"/>
    </row>
    <row r="503" spans="2:10" x14ac:dyDescent="0.35">
      <c r="B503" s="10"/>
      <c r="J503" s="10"/>
    </row>
    <row r="504" spans="2:10" x14ac:dyDescent="0.35">
      <c r="B504" s="10"/>
      <c r="J504" s="10"/>
    </row>
    <row r="505" spans="2:10" x14ac:dyDescent="0.35">
      <c r="B505" s="10"/>
      <c r="J505" s="10"/>
    </row>
    <row r="506" spans="2:10" x14ac:dyDescent="0.35">
      <c r="B506" s="10"/>
      <c r="J506" s="10"/>
    </row>
    <row r="507" spans="2:10" x14ac:dyDescent="0.35">
      <c r="B507" s="10"/>
      <c r="J507" s="10"/>
    </row>
    <row r="508" spans="2:10" x14ac:dyDescent="0.35">
      <c r="B508" s="10"/>
      <c r="J508" s="10"/>
    </row>
    <row r="509" spans="2:10" x14ac:dyDescent="0.35">
      <c r="B509" s="10"/>
      <c r="J509" s="10"/>
    </row>
    <row r="510" spans="2:10" x14ac:dyDescent="0.35">
      <c r="B510" s="10"/>
      <c r="J510" s="11"/>
    </row>
    <row r="511" spans="2:10" x14ac:dyDescent="0.35">
      <c r="B511" s="10"/>
      <c r="J511" s="11"/>
    </row>
    <row r="512" spans="2:10" x14ac:dyDescent="0.35">
      <c r="B512" s="10"/>
      <c r="J512" s="11"/>
    </row>
    <row r="513" spans="2:10" x14ac:dyDescent="0.35">
      <c r="B513" s="10"/>
      <c r="J513" s="11"/>
    </row>
    <row r="514" spans="2:10" x14ac:dyDescent="0.35">
      <c r="B514" s="10"/>
      <c r="J514" s="11"/>
    </row>
    <row r="515" spans="2:10" x14ac:dyDescent="0.35">
      <c r="B515" s="10"/>
      <c r="J515" s="11"/>
    </row>
    <row r="516" spans="2:10" x14ac:dyDescent="0.35">
      <c r="B516" s="10"/>
      <c r="J516" s="11"/>
    </row>
    <row r="517" spans="2:10" x14ac:dyDescent="0.35">
      <c r="B517" s="10"/>
      <c r="J517" s="11"/>
    </row>
    <row r="518" spans="2:10" x14ac:dyDescent="0.35">
      <c r="B518" s="10"/>
      <c r="J518" s="11"/>
    </row>
    <row r="519" spans="2:10" x14ac:dyDescent="0.35">
      <c r="B519" s="10"/>
      <c r="J519" s="11"/>
    </row>
    <row r="520" spans="2:10" x14ac:dyDescent="0.35">
      <c r="B520" s="10"/>
      <c r="J520" s="11"/>
    </row>
    <row r="521" spans="2:10" x14ac:dyDescent="0.35">
      <c r="B521" s="10"/>
      <c r="J521" s="11"/>
    </row>
    <row r="522" spans="2:10" x14ac:dyDescent="0.35">
      <c r="B522" s="10"/>
      <c r="J522" s="11"/>
    </row>
    <row r="523" spans="2:10" x14ac:dyDescent="0.35">
      <c r="B523" s="10"/>
      <c r="J523" s="11"/>
    </row>
    <row r="524" spans="2:10" x14ac:dyDescent="0.35">
      <c r="B524" s="10"/>
      <c r="J524" s="11"/>
    </row>
    <row r="525" spans="2:10" x14ac:dyDescent="0.35">
      <c r="B525" s="10"/>
      <c r="J525" s="10"/>
    </row>
    <row r="526" spans="2:10" x14ac:dyDescent="0.35">
      <c r="B526" s="10"/>
      <c r="J526" s="10"/>
    </row>
    <row r="527" spans="2:10" x14ac:dyDescent="0.35">
      <c r="B527" s="10"/>
      <c r="J527" s="10"/>
    </row>
    <row r="528" spans="2:10" x14ac:dyDescent="0.35">
      <c r="B528" s="10"/>
      <c r="J528" s="10"/>
    </row>
    <row r="529" spans="2:10" x14ac:dyDescent="0.35">
      <c r="B529" s="10"/>
      <c r="J529" s="10"/>
    </row>
    <row r="530" spans="2:10" x14ac:dyDescent="0.35">
      <c r="B530" s="10"/>
      <c r="J530" s="10"/>
    </row>
    <row r="531" spans="2:10" x14ac:dyDescent="0.35">
      <c r="B531" s="10"/>
      <c r="J531" s="10"/>
    </row>
    <row r="532" spans="2:10" x14ac:dyDescent="0.35">
      <c r="B532" s="10"/>
      <c r="J532" s="10"/>
    </row>
    <row r="533" spans="2:10" x14ac:dyDescent="0.35">
      <c r="B533" s="10"/>
      <c r="J533" s="10"/>
    </row>
    <row r="534" spans="2:10" x14ac:dyDescent="0.35">
      <c r="B534" s="10"/>
      <c r="J534" s="10"/>
    </row>
    <row r="535" spans="2:10" x14ac:dyDescent="0.35">
      <c r="B535" s="10"/>
      <c r="J535" s="10"/>
    </row>
    <row r="536" spans="2:10" x14ac:dyDescent="0.35">
      <c r="B536" s="10"/>
      <c r="J536" s="10"/>
    </row>
    <row r="537" spans="2:10" x14ac:dyDescent="0.35">
      <c r="B537" s="10"/>
      <c r="J537" s="10"/>
    </row>
    <row r="538" spans="2:10" x14ac:dyDescent="0.35">
      <c r="B538" s="10"/>
      <c r="J538" s="10"/>
    </row>
    <row r="539" spans="2:10" x14ac:dyDescent="0.35">
      <c r="B539" s="10"/>
      <c r="J539" s="10"/>
    </row>
    <row r="540" spans="2:10" x14ac:dyDescent="0.35">
      <c r="B540" s="10"/>
      <c r="J540" s="10"/>
    </row>
    <row r="541" spans="2:10" x14ac:dyDescent="0.35">
      <c r="B541" s="10"/>
      <c r="J541" s="10"/>
    </row>
    <row r="542" spans="2:10" x14ac:dyDescent="0.35">
      <c r="B542" s="10"/>
      <c r="J542" s="10"/>
    </row>
    <row r="543" spans="2:10" x14ac:dyDescent="0.35">
      <c r="B543" s="10"/>
      <c r="J543" s="10"/>
    </row>
    <row r="544" spans="2:10" x14ac:dyDescent="0.35">
      <c r="B544" s="10"/>
      <c r="J544" s="10"/>
    </row>
    <row r="545" spans="2:15" x14ac:dyDescent="0.35">
      <c r="B545" s="10"/>
      <c r="J545" s="10"/>
    </row>
    <row r="546" spans="2:15" x14ac:dyDescent="0.35">
      <c r="B546" s="10"/>
      <c r="J546" s="10"/>
    </row>
    <row r="547" spans="2:15" x14ac:dyDescent="0.35">
      <c r="B547" s="10"/>
      <c r="J547" s="12"/>
    </row>
    <row r="548" spans="2:15" x14ac:dyDescent="0.35">
      <c r="B548" s="10"/>
      <c r="J548" s="12"/>
    </row>
    <row r="549" spans="2:15" x14ac:dyDescent="0.35">
      <c r="B549" s="10"/>
      <c r="J549" s="12"/>
    </row>
    <row r="550" spans="2:15" x14ac:dyDescent="0.35">
      <c r="B550" s="10"/>
      <c r="J550" s="12"/>
    </row>
    <row r="551" spans="2:15" x14ac:dyDescent="0.35">
      <c r="B551" s="10"/>
      <c r="J551" s="12"/>
    </row>
    <row r="552" spans="2:15" x14ac:dyDescent="0.35">
      <c r="B552" s="10"/>
      <c r="J552" s="12"/>
    </row>
    <row r="553" spans="2:15" x14ac:dyDescent="0.35">
      <c r="B553" s="10"/>
      <c r="J553" s="12"/>
    </row>
    <row r="554" spans="2:15" x14ac:dyDescent="0.35">
      <c r="B554" s="10"/>
      <c r="J554" s="12"/>
    </row>
    <row r="555" spans="2:15" x14ac:dyDescent="0.35">
      <c r="B555" s="10"/>
      <c r="J555" s="12"/>
    </row>
    <row r="556" spans="2:15" x14ac:dyDescent="0.35">
      <c r="B556" s="10"/>
      <c r="J556" s="12"/>
    </row>
    <row r="557" spans="2:15" x14ac:dyDescent="0.35">
      <c r="B557" s="10"/>
      <c r="J557" s="12"/>
    </row>
    <row r="558" spans="2:15" x14ac:dyDescent="0.35">
      <c r="B558" s="10"/>
      <c r="J558" s="12"/>
    </row>
    <row r="559" spans="2:15" x14ac:dyDescent="0.35">
      <c r="B559" s="10"/>
      <c r="J559" s="12"/>
    </row>
    <row r="560" spans="2:15" x14ac:dyDescent="0.35">
      <c r="B560" s="10"/>
      <c r="J560" s="12"/>
    </row>
    <row r="561" spans="2:10" x14ac:dyDescent="0.35">
      <c r="B561" s="10"/>
      <c r="J561" s="12"/>
    </row>
    <row r="562" spans="2:10" x14ac:dyDescent="0.35">
      <c r="B562" s="10"/>
      <c r="J562" s="12"/>
    </row>
    <row r="563" spans="2:10" x14ac:dyDescent="0.35">
      <c r="B563" s="10"/>
      <c r="J563" s="12"/>
    </row>
    <row r="564" spans="2:10" x14ac:dyDescent="0.35">
      <c r="B564" s="10"/>
      <c r="J564" s="12"/>
    </row>
    <row r="565" spans="2:10" x14ac:dyDescent="0.35">
      <c r="B565" s="10"/>
      <c r="J565" s="12"/>
    </row>
    <row r="566" spans="2:10" x14ac:dyDescent="0.35">
      <c r="B566" s="10"/>
      <c r="J566" s="12"/>
    </row>
    <row r="567" spans="2:10" x14ac:dyDescent="0.35">
      <c r="B567" s="10"/>
      <c r="J567" s="12"/>
    </row>
    <row r="568" spans="2:10" x14ac:dyDescent="0.35">
      <c r="B568" s="10"/>
      <c r="J568" s="12"/>
    </row>
    <row r="569" spans="2:10" x14ac:dyDescent="0.35">
      <c r="B569" s="10"/>
      <c r="J569" s="12"/>
    </row>
    <row r="570" spans="2:10" x14ac:dyDescent="0.35">
      <c r="B570" s="10"/>
      <c r="J570" s="12"/>
    </row>
    <row r="571" spans="2:10" x14ac:dyDescent="0.35">
      <c r="B571" s="10"/>
      <c r="J571" s="12"/>
    </row>
    <row r="572" spans="2:10" x14ac:dyDescent="0.35">
      <c r="B572" s="10"/>
      <c r="J572" s="12"/>
    </row>
    <row r="573" spans="2:10" x14ac:dyDescent="0.35">
      <c r="B573" s="10"/>
      <c r="J573" s="12"/>
    </row>
    <row r="574" spans="2:10" x14ac:dyDescent="0.35">
      <c r="B574" s="10"/>
      <c r="J574" s="12"/>
    </row>
    <row r="575" spans="2:10" x14ac:dyDescent="0.35">
      <c r="B575" s="10"/>
      <c r="J575" s="12"/>
    </row>
    <row r="576" spans="2:10" x14ac:dyDescent="0.35">
      <c r="B576" s="10"/>
      <c r="J576" s="12"/>
    </row>
    <row r="577" spans="2:10" x14ac:dyDescent="0.35">
      <c r="B577" s="10"/>
      <c r="J577" s="12"/>
    </row>
    <row r="578" spans="2:10" x14ac:dyDescent="0.35">
      <c r="B578" s="10"/>
      <c r="J578" s="12"/>
    </row>
    <row r="579" spans="2:10" x14ac:dyDescent="0.35">
      <c r="B579" s="10"/>
      <c r="J579" s="12"/>
    </row>
    <row r="580" spans="2:10" x14ac:dyDescent="0.35">
      <c r="B580" s="10"/>
      <c r="J580" s="12"/>
    </row>
    <row r="581" spans="2:10" x14ac:dyDescent="0.35">
      <c r="B581" s="10"/>
      <c r="J581" s="12"/>
    </row>
    <row r="582" spans="2:10" x14ac:dyDescent="0.35">
      <c r="B582" s="10"/>
      <c r="J582" s="12"/>
    </row>
    <row r="583" spans="2:10" x14ac:dyDescent="0.35">
      <c r="B583" s="10"/>
      <c r="J583" s="12"/>
    </row>
    <row r="584" spans="2:10" x14ac:dyDescent="0.35">
      <c r="B584" s="10"/>
      <c r="J584" s="12"/>
    </row>
    <row r="585" spans="2:10" x14ac:dyDescent="0.35">
      <c r="B585" s="10"/>
      <c r="J585" s="12"/>
    </row>
    <row r="586" spans="2:10" x14ac:dyDescent="0.35">
      <c r="B586" s="10"/>
      <c r="J586" s="12"/>
    </row>
    <row r="587" spans="2:10" x14ac:dyDescent="0.35">
      <c r="B587" s="10"/>
      <c r="J587" s="12"/>
    </row>
    <row r="588" spans="2:10" x14ac:dyDescent="0.35">
      <c r="B588" s="10"/>
      <c r="J588" s="12"/>
    </row>
    <row r="589" spans="2:10" x14ac:dyDescent="0.35">
      <c r="B589" s="10"/>
      <c r="J589" s="12"/>
    </row>
    <row r="590" spans="2:10" x14ac:dyDescent="0.35">
      <c r="B590" s="10"/>
      <c r="J590" s="12"/>
    </row>
    <row r="591" spans="2:10" x14ac:dyDescent="0.35">
      <c r="B591" s="10"/>
      <c r="J591" s="12"/>
    </row>
    <row r="592" spans="2:10" x14ac:dyDescent="0.35">
      <c r="B592" s="10"/>
      <c r="J592" s="12"/>
    </row>
    <row r="593" spans="2:10" x14ac:dyDescent="0.35">
      <c r="B593" s="10"/>
      <c r="J593" s="12"/>
    </row>
    <row r="594" spans="2:10" x14ac:dyDescent="0.35">
      <c r="B594" s="10"/>
      <c r="J594" s="12"/>
    </row>
    <row r="595" spans="2:10" x14ac:dyDescent="0.35">
      <c r="B595" s="10"/>
      <c r="J595" s="12"/>
    </row>
    <row r="596" spans="2:10" x14ac:dyDescent="0.35">
      <c r="B596" s="10"/>
      <c r="J596" s="12"/>
    </row>
    <row r="597" spans="2:10" x14ac:dyDescent="0.35">
      <c r="B597" s="10"/>
      <c r="J597" s="12"/>
    </row>
    <row r="598" spans="2:10" x14ac:dyDescent="0.35">
      <c r="B598" s="10"/>
      <c r="J598" s="12"/>
    </row>
    <row r="599" spans="2:10" x14ac:dyDescent="0.35">
      <c r="B599" s="10"/>
      <c r="J599" s="12"/>
    </row>
    <row r="600" spans="2:10" x14ac:dyDescent="0.35">
      <c r="B600" s="10"/>
      <c r="J600" s="12"/>
    </row>
    <row r="601" spans="2:10" x14ac:dyDescent="0.35">
      <c r="B601" s="10"/>
      <c r="J601" s="12"/>
    </row>
    <row r="602" spans="2:10" x14ac:dyDescent="0.35">
      <c r="B602" s="10"/>
      <c r="J602" s="12"/>
    </row>
    <row r="603" spans="2:10" x14ac:dyDescent="0.35">
      <c r="B603" s="10"/>
      <c r="J603" s="12"/>
    </row>
    <row r="604" spans="2:10" x14ac:dyDescent="0.35">
      <c r="B604" s="10"/>
      <c r="J604" s="12"/>
    </row>
    <row r="605" spans="2:10" x14ac:dyDescent="0.35">
      <c r="B605" s="10"/>
      <c r="J605" s="12"/>
    </row>
    <row r="606" spans="2:10" x14ac:dyDescent="0.35">
      <c r="B606" s="10"/>
      <c r="J606" s="12"/>
    </row>
    <row r="607" spans="2:10" x14ac:dyDescent="0.35">
      <c r="B607" s="10"/>
      <c r="J607" s="12"/>
    </row>
    <row r="608" spans="2:10" x14ac:dyDescent="0.35">
      <c r="B608" s="10"/>
      <c r="J608" s="12"/>
    </row>
    <row r="609" spans="2:10" x14ac:dyDescent="0.35">
      <c r="B609" s="10"/>
      <c r="J609" s="12"/>
    </row>
    <row r="610" spans="2:10" x14ac:dyDescent="0.35">
      <c r="B610" s="10"/>
      <c r="J610" s="12"/>
    </row>
    <row r="611" spans="2:10" x14ac:dyDescent="0.35">
      <c r="B611" s="10"/>
      <c r="J611" s="12"/>
    </row>
    <row r="612" spans="2:10" x14ac:dyDescent="0.35">
      <c r="B612" s="10"/>
      <c r="J612" s="12"/>
    </row>
    <row r="613" spans="2:10" x14ac:dyDescent="0.35">
      <c r="B613" s="10"/>
      <c r="J613" s="12"/>
    </row>
    <row r="614" spans="2:10" x14ac:dyDescent="0.35">
      <c r="B614" s="10"/>
      <c r="J614" s="12"/>
    </row>
    <row r="615" spans="2:10" x14ac:dyDescent="0.35">
      <c r="B615" s="10"/>
      <c r="J615" s="12"/>
    </row>
    <row r="616" spans="2:10" x14ac:dyDescent="0.35">
      <c r="B616" s="10"/>
      <c r="J616" s="12"/>
    </row>
    <row r="617" spans="2:10" x14ac:dyDescent="0.35">
      <c r="B617" s="10"/>
      <c r="J617" s="12"/>
    </row>
    <row r="618" spans="2:10" x14ac:dyDescent="0.35">
      <c r="B618" s="10"/>
      <c r="J618" s="12"/>
    </row>
    <row r="619" spans="2:10" x14ac:dyDescent="0.35">
      <c r="B619" s="10"/>
      <c r="J619" s="12"/>
    </row>
    <row r="620" spans="2:10" x14ac:dyDescent="0.35">
      <c r="B620" s="10"/>
      <c r="J620" s="12"/>
    </row>
    <row r="621" spans="2:10" x14ac:dyDescent="0.35">
      <c r="B621" s="10"/>
      <c r="J621" s="12"/>
    </row>
    <row r="622" spans="2:10" x14ac:dyDescent="0.35">
      <c r="B622" s="10"/>
      <c r="J622" s="12"/>
    </row>
    <row r="623" spans="2:10" x14ac:dyDescent="0.35">
      <c r="B623" s="10"/>
      <c r="J623" s="12"/>
    </row>
    <row r="624" spans="2:10" x14ac:dyDescent="0.35">
      <c r="B624" s="10"/>
      <c r="J624" s="12"/>
    </row>
    <row r="625" spans="2:10" x14ac:dyDescent="0.35">
      <c r="B625" s="10"/>
      <c r="J625" s="12"/>
    </row>
    <row r="626" spans="2:10" x14ac:dyDescent="0.35">
      <c r="B626" s="10"/>
      <c r="J626" s="12"/>
    </row>
    <row r="627" spans="2:10" x14ac:dyDescent="0.35">
      <c r="B627" s="10"/>
      <c r="J627" s="12"/>
    </row>
    <row r="628" spans="2:10" x14ac:dyDescent="0.35">
      <c r="B628" s="10"/>
      <c r="J628" s="12"/>
    </row>
    <row r="629" spans="2:10" x14ac:dyDescent="0.35">
      <c r="B629" s="10"/>
      <c r="J629" s="12"/>
    </row>
    <row r="630" spans="2:10" x14ac:dyDescent="0.35">
      <c r="B630" s="10"/>
      <c r="J630" s="12"/>
    </row>
    <row r="631" spans="2:10" x14ac:dyDescent="0.35">
      <c r="B631" s="10"/>
      <c r="J631" s="12"/>
    </row>
    <row r="632" spans="2:10" x14ac:dyDescent="0.35">
      <c r="B632" s="10"/>
      <c r="J632" s="12"/>
    </row>
    <row r="633" spans="2:10" x14ac:dyDescent="0.35">
      <c r="B633" s="10"/>
      <c r="J633" s="12"/>
    </row>
    <row r="634" spans="2:10" x14ac:dyDescent="0.35">
      <c r="B634" s="10"/>
      <c r="J634" s="12"/>
    </row>
    <row r="635" spans="2:10" x14ac:dyDescent="0.35">
      <c r="B635" s="10"/>
      <c r="J635" s="12"/>
    </row>
    <row r="636" spans="2:10" x14ac:dyDescent="0.35">
      <c r="B636" s="10"/>
      <c r="J636" s="12"/>
    </row>
    <row r="637" spans="2:10" x14ac:dyDescent="0.35">
      <c r="B637" s="10"/>
      <c r="J637" s="12"/>
    </row>
    <row r="638" spans="2:10" x14ac:dyDescent="0.35">
      <c r="B638" s="10"/>
      <c r="J638" s="12"/>
    </row>
    <row r="639" spans="2:10" x14ac:dyDescent="0.35">
      <c r="B639" s="10"/>
      <c r="J639" s="12"/>
    </row>
    <row r="640" spans="2:10" x14ac:dyDescent="0.35">
      <c r="B640" s="10"/>
      <c r="J640" s="12"/>
    </row>
    <row r="641" spans="2:10" x14ac:dyDescent="0.35">
      <c r="B641" s="10"/>
      <c r="J641" s="12"/>
    </row>
    <row r="642" spans="2:10" x14ac:dyDescent="0.35">
      <c r="B642" s="10"/>
      <c r="J642" s="12"/>
    </row>
    <row r="643" spans="2:10" x14ac:dyDescent="0.35">
      <c r="B643" s="10"/>
      <c r="J643" s="12"/>
    </row>
    <row r="644" spans="2:10" x14ac:dyDescent="0.35">
      <c r="B644" s="10"/>
      <c r="J644" s="12"/>
    </row>
    <row r="645" spans="2:10" x14ac:dyDescent="0.35">
      <c r="B645" s="10"/>
      <c r="J645" s="12"/>
    </row>
    <row r="646" spans="2:10" x14ac:dyDescent="0.35">
      <c r="B646" s="10"/>
      <c r="J646" s="12"/>
    </row>
    <row r="647" spans="2:10" x14ac:dyDescent="0.35">
      <c r="B647" s="10"/>
      <c r="J647" s="12"/>
    </row>
    <row r="648" spans="2:10" x14ac:dyDescent="0.35">
      <c r="B648" s="10"/>
      <c r="J648" s="12"/>
    </row>
    <row r="649" spans="2:10" x14ac:dyDescent="0.35">
      <c r="B649" s="10"/>
      <c r="J649" s="12"/>
    </row>
    <row r="650" spans="2:10" x14ac:dyDescent="0.35">
      <c r="B650" s="10"/>
      <c r="J650" s="12"/>
    </row>
    <row r="651" spans="2:10" x14ac:dyDescent="0.35">
      <c r="B651" s="10"/>
      <c r="J651" s="12"/>
    </row>
    <row r="652" spans="2:10" x14ac:dyDescent="0.35">
      <c r="B652" s="10"/>
      <c r="J652" s="12"/>
    </row>
    <row r="653" spans="2:10" x14ac:dyDescent="0.35">
      <c r="B653" s="10"/>
      <c r="J653" s="12"/>
    </row>
    <row r="654" spans="2:10" x14ac:dyDescent="0.35">
      <c r="B654" s="10"/>
      <c r="J654" s="12"/>
    </row>
    <row r="655" spans="2:10" x14ac:dyDescent="0.35">
      <c r="B655" s="10"/>
      <c r="J655" s="12"/>
    </row>
    <row r="656" spans="2:10" x14ac:dyDescent="0.35">
      <c r="B656" s="10"/>
      <c r="J656" s="12"/>
    </row>
    <row r="657" spans="2:15" x14ac:dyDescent="0.35">
      <c r="B657" s="10"/>
      <c r="J657" s="12"/>
    </row>
    <row r="658" spans="2:15" x14ac:dyDescent="0.35">
      <c r="B658" s="10"/>
      <c r="J658" s="12"/>
    </row>
    <row r="659" spans="2:15" x14ac:dyDescent="0.35">
      <c r="B659" s="10"/>
      <c r="J659" s="12"/>
    </row>
    <row r="660" spans="2:15" x14ac:dyDescent="0.35">
      <c r="B660" s="10"/>
      <c r="J660" s="12"/>
      <c r="M660" s="13"/>
      <c r="N660" s="13"/>
      <c r="O660" s="13"/>
    </row>
    <row r="661" spans="2:15" x14ac:dyDescent="0.35">
      <c r="B661" s="10"/>
      <c r="J661" s="12"/>
    </row>
    <row r="662" spans="2:15" x14ac:dyDescent="0.35">
      <c r="B662" s="10"/>
      <c r="J662" s="12"/>
    </row>
    <row r="663" spans="2:15" x14ac:dyDescent="0.35">
      <c r="B663" s="10"/>
      <c r="J663" s="12"/>
    </row>
    <row r="664" spans="2:15" x14ac:dyDescent="0.35">
      <c r="B664" s="10"/>
      <c r="J664" s="12"/>
    </row>
    <row r="665" spans="2:15" x14ac:dyDescent="0.35">
      <c r="B665" s="10"/>
      <c r="J665" s="12"/>
    </row>
    <row r="666" spans="2:15" x14ac:dyDescent="0.35">
      <c r="B666" s="10"/>
      <c r="J666" s="12"/>
    </row>
    <row r="667" spans="2:15" x14ac:dyDescent="0.35">
      <c r="B667" s="10"/>
      <c r="J667" s="12"/>
    </row>
    <row r="668" spans="2:15" x14ac:dyDescent="0.35">
      <c r="B668" s="10"/>
      <c r="J668" s="12"/>
    </row>
    <row r="669" spans="2:15" x14ac:dyDescent="0.35">
      <c r="B669" s="10"/>
      <c r="J669" s="12"/>
    </row>
    <row r="670" spans="2:15" x14ac:dyDescent="0.35">
      <c r="B670" s="10"/>
      <c r="J670" s="12"/>
    </row>
    <row r="671" spans="2:15" x14ac:dyDescent="0.35">
      <c r="B671" s="10"/>
      <c r="J671" s="12"/>
    </row>
    <row r="672" spans="2:15" x14ac:dyDescent="0.35">
      <c r="B672" s="10"/>
      <c r="J672" s="12"/>
    </row>
    <row r="673" spans="2:12" x14ac:dyDescent="0.35">
      <c r="B673" s="10"/>
      <c r="J673" s="12"/>
    </row>
    <row r="674" spans="2:12" x14ac:dyDescent="0.35">
      <c r="B674" s="10"/>
      <c r="J674" s="12"/>
    </row>
    <row r="675" spans="2:12" x14ac:dyDescent="0.35">
      <c r="B675" s="10"/>
      <c r="J675" s="12"/>
    </row>
    <row r="676" spans="2:12" x14ac:dyDescent="0.35">
      <c r="B676" s="10"/>
      <c r="J676" s="12"/>
    </row>
    <row r="677" spans="2:12" x14ac:dyDescent="0.35">
      <c r="B677" s="10"/>
      <c r="J677" s="12"/>
    </row>
    <row r="678" spans="2:12" x14ac:dyDescent="0.35">
      <c r="B678" s="10"/>
      <c r="J678" s="12"/>
    </row>
    <row r="679" spans="2:12" x14ac:dyDescent="0.35">
      <c r="B679" s="10"/>
      <c r="J679" s="12"/>
    </row>
    <row r="680" spans="2:12" x14ac:dyDescent="0.35">
      <c r="B680" s="10"/>
      <c r="J680" s="12"/>
    </row>
    <row r="681" spans="2:12" x14ac:dyDescent="0.35">
      <c r="B681" s="10"/>
      <c r="J681" s="12"/>
    </row>
    <row r="682" spans="2:12" x14ac:dyDescent="0.35">
      <c r="B682" s="10"/>
      <c r="J682" s="12"/>
      <c r="K682" s="14"/>
      <c r="L682" s="14"/>
    </row>
    <row r="683" spans="2:12" x14ac:dyDescent="0.35">
      <c r="B683" s="10"/>
      <c r="J683" s="12"/>
      <c r="K683" s="14"/>
      <c r="L683" s="14"/>
    </row>
    <row r="684" spans="2:12" x14ac:dyDescent="0.35">
      <c r="B684" s="10"/>
      <c r="J684" s="12"/>
      <c r="K684" s="14"/>
      <c r="L684" s="14"/>
    </row>
    <row r="685" spans="2:12" x14ac:dyDescent="0.35">
      <c r="B685" s="10"/>
      <c r="J685" s="12"/>
      <c r="K685" s="14"/>
      <c r="L685" s="14"/>
    </row>
    <row r="686" spans="2:12" x14ac:dyDescent="0.35">
      <c r="B686" s="10"/>
      <c r="J686" s="12"/>
      <c r="K686" s="14"/>
      <c r="L686" s="14"/>
    </row>
    <row r="687" spans="2:12" x14ac:dyDescent="0.35">
      <c r="B687" s="10"/>
      <c r="J687" s="12"/>
      <c r="K687" s="14"/>
      <c r="L687" s="14"/>
    </row>
    <row r="688" spans="2:12" x14ac:dyDescent="0.35">
      <c r="B688" s="10"/>
      <c r="J688" s="12"/>
      <c r="K688" s="14"/>
      <c r="L688" s="14"/>
    </row>
    <row r="689" spans="2:12" x14ac:dyDescent="0.35">
      <c r="B689" s="10"/>
      <c r="J689" s="12"/>
      <c r="K689" s="14"/>
      <c r="L689" s="14"/>
    </row>
    <row r="690" spans="2:12" x14ac:dyDescent="0.35">
      <c r="B690" s="10"/>
      <c r="J690" s="12"/>
      <c r="K690" s="14"/>
      <c r="L690" s="14"/>
    </row>
    <row r="691" spans="2:12" x14ac:dyDescent="0.35">
      <c r="B691" s="10"/>
      <c r="J691" s="12"/>
      <c r="K691" s="14"/>
      <c r="L691" s="14"/>
    </row>
    <row r="692" spans="2:12" x14ac:dyDescent="0.35">
      <c r="B692" s="10"/>
      <c r="J692" s="12"/>
      <c r="K692" s="14"/>
      <c r="L692" s="14"/>
    </row>
    <row r="693" spans="2:12" x14ac:dyDescent="0.35">
      <c r="B693" s="10"/>
      <c r="J693" s="12"/>
      <c r="K693" s="14"/>
      <c r="L693" s="14"/>
    </row>
    <row r="694" spans="2:12" x14ac:dyDescent="0.35">
      <c r="B694" s="10"/>
      <c r="J694" s="12"/>
      <c r="K694" s="14"/>
      <c r="L694" s="14"/>
    </row>
    <row r="695" spans="2:12" x14ac:dyDescent="0.35">
      <c r="B695" s="10"/>
      <c r="J695" s="12"/>
      <c r="K695" s="14"/>
      <c r="L695" s="14"/>
    </row>
    <row r="696" spans="2:12" x14ac:dyDescent="0.35">
      <c r="B696" s="10"/>
      <c r="J696" s="12"/>
      <c r="K696" s="14"/>
      <c r="L696" s="14"/>
    </row>
    <row r="697" spans="2:12" x14ac:dyDescent="0.35">
      <c r="B697" s="10"/>
      <c r="J697" s="12"/>
      <c r="K697" s="14"/>
      <c r="L697" s="14"/>
    </row>
    <row r="698" spans="2:12" x14ac:dyDescent="0.35">
      <c r="B698" s="10"/>
      <c r="J698" s="12"/>
      <c r="K698" s="14"/>
      <c r="L698" s="14"/>
    </row>
    <row r="699" spans="2:12" x14ac:dyDescent="0.35">
      <c r="B699" s="10"/>
      <c r="J699" s="12"/>
      <c r="K699" s="14"/>
      <c r="L699" s="14"/>
    </row>
    <row r="700" spans="2:12" x14ac:dyDescent="0.35">
      <c r="B700" s="10"/>
      <c r="J700" s="12"/>
      <c r="K700" s="14"/>
      <c r="L700" s="14"/>
    </row>
    <row r="701" spans="2:12" x14ac:dyDescent="0.35">
      <c r="B701" s="10"/>
      <c r="J701" s="12"/>
      <c r="K701" s="14"/>
      <c r="L701" s="14"/>
    </row>
    <row r="702" spans="2:12" x14ac:dyDescent="0.35">
      <c r="B702" s="10"/>
      <c r="J702" s="12"/>
      <c r="K702" s="14"/>
      <c r="L702" s="14"/>
    </row>
    <row r="703" spans="2:12" x14ac:dyDescent="0.35">
      <c r="B703" s="10"/>
      <c r="J703" s="12"/>
      <c r="K703" s="14"/>
      <c r="L703" s="14"/>
    </row>
    <row r="704" spans="2:12" x14ac:dyDescent="0.35">
      <c r="B704" s="10"/>
      <c r="J704" s="12"/>
      <c r="K704" s="14"/>
      <c r="L704" s="14"/>
    </row>
    <row r="705" spans="2:12" x14ac:dyDescent="0.35">
      <c r="B705" s="10"/>
      <c r="J705" s="12"/>
      <c r="K705" s="14"/>
      <c r="L705" s="14"/>
    </row>
    <row r="706" spans="2:12" x14ac:dyDescent="0.35">
      <c r="B706" s="10"/>
      <c r="J706" s="12"/>
      <c r="K706" s="14"/>
      <c r="L706" s="14"/>
    </row>
    <row r="707" spans="2:12" x14ac:dyDescent="0.35">
      <c r="B707" s="10"/>
      <c r="J707" s="12"/>
      <c r="K707" s="14"/>
      <c r="L707" s="14"/>
    </row>
    <row r="708" spans="2:12" x14ac:dyDescent="0.35">
      <c r="B708" s="10"/>
      <c r="J708" s="12"/>
      <c r="K708" s="14"/>
      <c r="L708" s="14"/>
    </row>
    <row r="709" spans="2:12" x14ac:dyDescent="0.35">
      <c r="B709" s="10"/>
      <c r="J709" s="12"/>
      <c r="K709" s="14"/>
      <c r="L709" s="14"/>
    </row>
    <row r="710" spans="2:12" x14ac:dyDescent="0.35">
      <c r="B710" s="10"/>
      <c r="J710" s="12"/>
      <c r="K710" s="14"/>
      <c r="L710" s="14"/>
    </row>
    <row r="711" spans="2:12" x14ac:dyDescent="0.35">
      <c r="B711" s="10"/>
      <c r="J711" s="12"/>
      <c r="K711" s="14"/>
      <c r="L711" s="14"/>
    </row>
    <row r="712" spans="2:12" x14ac:dyDescent="0.35">
      <c r="B712" s="10"/>
      <c r="J712" s="12"/>
      <c r="K712" s="14"/>
      <c r="L712" s="14"/>
    </row>
    <row r="713" spans="2:12" x14ac:dyDescent="0.35">
      <c r="B713" s="10"/>
      <c r="J713" s="12"/>
      <c r="K713" s="14"/>
      <c r="L713" s="14"/>
    </row>
    <row r="714" spans="2:12" x14ac:dyDescent="0.35">
      <c r="B714" s="10"/>
      <c r="J714" s="12"/>
      <c r="K714" s="14"/>
      <c r="L714" s="14"/>
    </row>
    <row r="715" spans="2:12" x14ac:dyDescent="0.35">
      <c r="B715" s="10"/>
      <c r="J715" s="12"/>
      <c r="K715" s="14"/>
      <c r="L715" s="14"/>
    </row>
    <row r="716" spans="2:12" x14ac:dyDescent="0.35">
      <c r="B716" s="10"/>
      <c r="J716" s="12"/>
      <c r="K716" s="14"/>
      <c r="L716" s="14"/>
    </row>
    <row r="717" spans="2:12" x14ac:dyDescent="0.35">
      <c r="B717" s="10"/>
      <c r="J717" s="12"/>
      <c r="K717" s="14"/>
      <c r="L717" s="14"/>
    </row>
    <row r="718" spans="2:12" x14ac:dyDescent="0.35">
      <c r="B718" s="10"/>
      <c r="J718" s="12"/>
      <c r="K718" s="14"/>
      <c r="L718" s="14"/>
    </row>
    <row r="719" spans="2:12" x14ac:dyDescent="0.35">
      <c r="B719" s="10"/>
      <c r="J719" s="12"/>
      <c r="K719" s="14"/>
      <c r="L719" s="14"/>
    </row>
    <row r="720" spans="2:12" x14ac:dyDescent="0.35">
      <c r="B720" s="10"/>
      <c r="J720" s="12"/>
      <c r="K720" s="14"/>
      <c r="L720" s="14"/>
    </row>
    <row r="721" spans="2:12" x14ac:dyDescent="0.35">
      <c r="B721" s="10"/>
      <c r="J721" s="12"/>
      <c r="K721" s="14"/>
      <c r="L721" s="14"/>
    </row>
    <row r="722" spans="2:12" x14ac:dyDescent="0.35">
      <c r="B722" s="10"/>
      <c r="J722" s="12"/>
      <c r="K722" s="14"/>
      <c r="L722" s="14"/>
    </row>
    <row r="723" spans="2:12" x14ac:dyDescent="0.35">
      <c r="B723" s="10"/>
      <c r="J723" s="12"/>
      <c r="K723" s="14"/>
      <c r="L723" s="14"/>
    </row>
    <row r="724" spans="2:12" x14ac:dyDescent="0.35">
      <c r="B724" s="10"/>
      <c r="J724" s="12"/>
      <c r="K724" s="14"/>
      <c r="L724" s="14"/>
    </row>
    <row r="725" spans="2:12" x14ac:dyDescent="0.35">
      <c r="B725" s="10"/>
      <c r="J725" s="12"/>
      <c r="K725" s="14"/>
      <c r="L725" s="14"/>
    </row>
    <row r="726" spans="2:12" x14ac:dyDescent="0.35">
      <c r="B726" s="10"/>
      <c r="J726" s="12"/>
      <c r="K726" s="14"/>
      <c r="L726" s="14"/>
    </row>
    <row r="727" spans="2:12" x14ac:dyDescent="0.35">
      <c r="B727" s="10"/>
      <c r="J727" s="12"/>
      <c r="K727" s="14"/>
      <c r="L727" s="14"/>
    </row>
    <row r="728" spans="2:12" x14ac:dyDescent="0.35">
      <c r="B728" s="10"/>
      <c r="J728" s="12"/>
      <c r="K728" s="14"/>
      <c r="L728" s="14"/>
    </row>
    <row r="729" spans="2:12" x14ac:dyDescent="0.35">
      <c r="B729" s="10"/>
      <c r="J729" s="12"/>
      <c r="K729" s="14"/>
      <c r="L729" s="14"/>
    </row>
    <row r="730" spans="2:12" x14ac:dyDescent="0.35">
      <c r="B730" s="10"/>
      <c r="J730" s="12"/>
      <c r="K730" s="14"/>
      <c r="L730" s="14"/>
    </row>
    <row r="731" spans="2:12" x14ac:dyDescent="0.35">
      <c r="B731" s="10"/>
      <c r="J731" s="12"/>
      <c r="K731" s="14"/>
      <c r="L731" s="14"/>
    </row>
    <row r="732" spans="2:12" x14ac:dyDescent="0.35">
      <c r="B732" s="10"/>
      <c r="J732" s="12"/>
      <c r="K732" s="14"/>
      <c r="L732" s="14"/>
    </row>
    <row r="733" spans="2:12" x14ac:dyDescent="0.35">
      <c r="B733" s="10"/>
      <c r="J733" s="12"/>
      <c r="K733" s="14"/>
      <c r="L733" s="14"/>
    </row>
    <row r="734" spans="2:12" x14ac:dyDescent="0.35">
      <c r="B734" s="10"/>
      <c r="J734" s="12"/>
      <c r="K734" s="14"/>
      <c r="L734" s="14"/>
    </row>
    <row r="735" spans="2:12" x14ac:dyDescent="0.35">
      <c r="B735" s="10"/>
      <c r="J735" s="12"/>
      <c r="K735" s="14"/>
      <c r="L735" s="14"/>
    </row>
    <row r="736" spans="2:12" x14ac:dyDescent="0.35">
      <c r="B736" s="10"/>
      <c r="J736" s="12"/>
      <c r="K736" s="14"/>
      <c r="L736" s="14"/>
    </row>
    <row r="737" spans="2:12" x14ac:dyDescent="0.35">
      <c r="B737" s="10"/>
      <c r="J737" s="12"/>
      <c r="K737" s="14"/>
      <c r="L737" s="14"/>
    </row>
    <row r="738" spans="2:12" x14ac:dyDescent="0.35">
      <c r="B738" s="10"/>
      <c r="J738" s="12"/>
      <c r="K738" s="14"/>
      <c r="L738" s="14"/>
    </row>
    <row r="739" spans="2:12" x14ac:dyDescent="0.35">
      <c r="B739" s="10"/>
      <c r="J739" s="12"/>
      <c r="K739" s="14"/>
      <c r="L739" s="14"/>
    </row>
    <row r="740" spans="2:12" x14ac:dyDescent="0.35">
      <c r="B740" s="10"/>
      <c r="J740" s="12"/>
      <c r="K740" s="14"/>
      <c r="L740" s="14"/>
    </row>
    <row r="741" spans="2:12" x14ac:dyDescent="0.35">
      <c r="B741" s="10"/>
      <c r="J741" s="12"/>
      <c r="K741" s="14"/>
      <c r="L741" s="14"/>
    </row>
    <row r="742" spans="2:12" x14ac:dyDescent="0.35">
      <c r="B742" s="10"/>
      <c r="J742" s="12"/>
      <c r="K742" s="14"/>
      <c r="L742" s="14"/>
    </row>
    <row r="743" spans="2:12" x14ac:dyDescent="0.35">
      <c r="B743" s="10"/>
      <c r="J743" s="12"/>
      <c r="K743" s="14"/>
      <c r="L743" s="14"/>
    </row>
    <row r="744" spans="2:12" x14ac:dyDescent="0.35">
      <c r="B744" s="10"/>
      <c r="J744" s="12"/>
      <c r="K744" s="14"/>
      <c r="L744" s="14"/>
    </row>
    <row r="745" spans="2:12" x14ac:dyDescent="0.35">
      <c r="B745" s="10"/>
      <c r="J745" s="12"/>
      <c r="K745" s="14"/>
      <c r="L745" s="14"/>
    </row>
    <row r="746" spans="2:12" x14ac:dyDescent="0.35">
      <c r="B746" s="10"/>
      <c r="J746" s="12"/>
      <c r="K746" s="14"/>
      <c r="L746" s="14"/>
    </row>
    <row r="747" spans="2:12" x14ac:dyDescent="0.35">
      <c r="B747" s="10"/>
      <c r="J747" s="12"/>
      <c r="K747" s="14"/>
      <c r="L747" s="14"/>
    </row>
    <row r="748" spans="2:12" x14ac:dyDescent="0.35">
      <c r="B748" s="10"/>
      <c r="J748" s="12"/>
      <c r="K748" s="14"/>
      <c r="L748" s="14"/>
    </row>
  </sheetData>
  <sortState xmlns:xlrd2="http://schemas.microsoft.com/office/spreadsheetml/2017/richdata2" ref="A2:O748">
    <sortCondition ref="G2:G748"/>
    <sortCondition ref="J2:J748"/>
    <sortCondition ref="E2:E748"/>
    <sortCondition ref="H2:H748"/>
    <sortCondition ref="D2:D748"/>
  </sortState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Piontek, Russell</dc:creator>
  <cp:lastModifiedBy>Hasan, Md. Mahadi</cp:lastModifiedBy>
  <dcterms:created xsi:type="dcterms:W3CDTF">2022-02-21T18:48:47Z</dcterms:created>
  <dcterms:modified xsi:type="dcterms:W3CDTF">2025-10-15T16:15:05Z</dcterms:modified>
</cp:coreProperties>
</file>